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aa.sharepoint.com/sites/COO-UKAB/Department/Website/Drones Airprox Count/2026/"/>
    </mc:Choice>
  </mc:AlternateContent>
  <xr:revisionPtr revIDLastSave="619" documentId="8_{EE8E3335-2BAC-44D5-A5BC-FC7382C7AE77}" xr6:coauthVersionLast="47" xr6:coauthVersionMax="47" xr10:uidLastSave="{1ADCB1D0-B8FF-4046-ACBF-F8BB925DD463}"/>
  <bookViews>
    <workbookView xWindow="28680" yWindow="-120" windowWidth="29040" windowHeight="15720" xr2:uid="{00000000-000D-0000-FFFF-FFFF00000000}"/>
  </bookViews>
  <sheets>
    <sheet name="UA_Other Data" sheetId="1" r:id="rId1"/>
    <sheet name="By Month" sheetId="6" r:id="rId2"/>
    <sheet name="By Risk" sheetId="7" r:id="rId3"/>
    <sheet name="By Alt 1000s (0-500 inc)" sheetId="4" r:id="rId4"/>
    <sheet name="By Alt 1000s" sheetId="5" r:id="rId5"/>
  </sheets>
  <definedNames>
    <definedName name="_xlnm._FilterDatabase" localSheetId="0" hidden="1">'UA_Other Data'!$A$1:$S$1041</definedName>
  </definedNames>
  <calcPr calcId="191028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<sst xmlns="http://schemas.openxmlformats.org/spreadsheetml/2006/main" count="6612" uniqueCount="1208">
  <si>
    <t>Airprox No</t>
  </si>
  <si>
    <t>Date</t>
  </si>
  <si>
    <t>Year</t>
  </si>
  <si>
    <t>Aircraft</t>
  </si>
  <si>
    <t>Object</t>
  </si>
  <si>
    <t>Latitude</t>
  </si>
  <si>
    <t>Longitude</t>
  </si>
  <si>
    <t>Alt</t>
  </si>
  <si>
    <t>Reported Location</t>
  </si>
  <si>
    <t>Drone Operator reported Airprox have the associated 'Aircraft' highlighted in red bold</t>
  </si>
  <si>
    <t>Apache</t>
  </si>
  <si>
    <t>Drone</t>
  </si>
  <si>
    <t>5113N</t>
  </si>
  <si>
    <t>00200W</t>
  </si>
  <si>
    <t>SPTA DA</t>
  </si>
  <si>
    <t>C</t>
  </si>
  <si>
    <t>Sea King</t>
  </si>
  <si>
    <t>5114N</t>
  </si>
  <si>
    <t>00201W</t>
  </si>
  <si>
    <t>A319</t>
  </si>
  <si>
    <t>Unknown</t>
  </si>
  <si>
    <t>5133N</t>
  </si>
  <si>
    <t>00241W</t>
  </si>
  <si>
    <t>Filton/Bristol CTA</t>
  </si>
  <si>
    <t>D</t>
  </si>
  <si>
    <t>R44</t>
  </si>
  <si>
    <t>Model Aircraft</t>
  </si>
  <si>
    <t>5212N</t>
  </si>
  <si>
    <t>00015E</t>
  </si>
  <si>
    <t>Cambridge</t>
  </si>
  <si>
    <t>MD902</t>
  </si>
  <si>
    <t>5106N</t>
  </si>
  <si>
    <t>00038E</t>
  </si>
  <si>
    <t>Headcorn</t>
  </si>
  <si>
    <t>B</t>
  </si>
  <si>
    <t>Tornado</t>
  </si>
  <si>
    <t>5231N</t>
  </si>
  <si>
    <t>00043E</t>
  </si>
  <si>
    <t>STANTA/ Buckenham Tofts</t>
  </si>
  <si>
    <t>C150</t>
  </si>
  <si>
    <t>5143N</t>
  </si>
  <si>
    <t>00009E</t>
  </si>
  <si>
    <t>North Weald</t>
  </si>
  <si>
    <t>E</t>
  </si>
  <si>
    <t>B737</t>
  </si>
  <si>
    <t>Balloon</t>
  </si>
  <si>
    <t>5122N</t>
  </si>
  <si>
    <t>00042E</t>
  </si>
  <si>
    <t>Detling</t>
  </si>
  <si>
    <t>DA42</t>
  </si>
  <si>
    <t>5221N</t>
  </si>
  <si>
    <t>00123W</t>
  </si>
  <si>
    <t>Coventry</t>
  </si>
  <si>
    <t>A320</t>
  </si>
  <si>
    <t>5551N</t>
  </si>
  <si>
    <t>00406W</t>
  </si>
  <si>
    <t>Glasgow Airport</t>
  </si>
  <si>
    <t>B777</t>
  </si>
  <si>
    <t>5110N</t>
  </si>
  <si>
    <t>00003W</t>
  </si>
  <si>
    <t>London Gatwick</t>
  </si>
  <si>
    <t>Tutor</t>
  </si>
  <si>
    <t>5239N</t>
  </si>
  <si>
    <t>00016W</t>
  </si>
  <si>
    <t>Peterborough</t>
  </si>
  <si>
    <t>Merlin</t>
  </si>
  <si>
    <t>5229N</t>
  </si>
  <si>
    <t>00046E</t>
  </si>
  <si>
    <t>EG D208</t>
  </si>
  <si>
    <t>ATR72-500</t>
  </si>
  <si>
    <t>5132N</t>
  </si>
  <si>
    <t>00036W</t>
  </si>
  <si>
    <t>Southend Airport</t>
  </si>
  <si>
    <t>5129N</t>
  </si>
  <si>
    <t>00032W</t>
  </si>
  <si>
    <t>London Heathrow</t>
  </si>
  <si>
    <t>A</t>
  </si>
  <si>
    <t>5006N</t>
  </si>
  <si>
    <t>00523W</t>
  </si>
  <si>
    <t>Praa Sands</t>
  </si>
  <si>
    <t>Gyroplane</t>
  </si>
  <si>
    <t>5121N</t>
  </si>
  <si>
    <t>00029W</t>
  </si>
  <si>
    <t>Rochester</t>
  </si>
  <si>
    <t>AW139</t>
  </si>
  <si>
    <t>5240N</t>
  </si>
  <si>
    <t>00122E</t>
  </si>
  <si>
    <t>Norwich</t>
  </si>
  <si>
    <t>Paraglider</t>
  </si>
  <si>
    <t>5321N</t>
  </si>
  <si>
    <t>00150W</t>
  </si>
  <si>
    <t>Rushup Edge</t>
  </si>
  <si>
    <t>E135</t>
  </si>
  <si>
    <t>5350N</t>
  </si>
  <si>
    <t>00138W</t>
  </si>
  <si>
    <t>Leeds Bradford Airport</t>
  </si>
  <si>
    <t>SAAB 2000</t>
  </si>
  <si>
    <t>6011N</t>
  </si>
  <si>
    <t>00114W</t>
  </si>
  <si>
    <t>Lerwick</t>
  </si>
  <si>
    <t>PA28</t>
  </si>
  <si>
    <t>5123N</t>
  </si>
  <si>
    <t>00110W</t>
  </si>
  <si>
    <t>IVO Brimpton</t>
  </si>
  <si>
    <t>00037W</t>
  </si>
  <si>
    <t>EC30</t>
  </si>
  <si>
    <t>5118N</t>
  </si>
  <si>
    <t>00007W</t>
  </si>
  <si>
    <t>Kenley</t>
  </si>
  <si>
    <t>DHC8</t>
  </si>
  <si>
    <t>5130N</t>
  </si>
  <si>
    <t>London City Airport</t>
  </si>
  <si>
    <t>5208N</t>
  </si>
  <si>
    <t>00108E</t>
  </si>
  <si>
    <t>Wattisham</t>
  </si>
  <si>
    <t>B752</t>
  </si>
  <si>
    <t>5324N</t>
  </si>
  <si>
    <t>00211W</t>
  </si>
  <si>
    <t>Manchester Airport</t>
  </si>
  <si>
    <t>Lynx</t>
  </si>
  <si>
    <t>5131N</t>
  </si>
  <si>
    <t>00231W</t>
  </si>
  <si>
    <t>Bristol Airport</t>
  </si>
  <si>
    <t>RJ85</t>
  </si>
  <si>
    <t>5146N</t>
  </si>
  <si>
    <t>Southend</t>
  </si>
  <si>
    <t>5138N</t>
  </si>
  <si>
    <t>00019E</t>
  </si>
  <si>
    <t>Lambourne</t>
  </si>
  <si>
    <t>B757-236</t>
  </si>
  <si>
    <t>5313N</t>
  </si>
  <si>
    <t>00210W</t>
  </si>
  <si>
    <t>Macclesfield</t>
  </si>
  <si>
    <t>Vans RV6A</t>
  </si>
  <si>
    <t>5210N</t>
  </si>
  <si>
    <t>Byfield, Northampton</t>
  </si>
  <si>
    <t>Cavalon Gyroplane</t>
  </si>
  <si>
    <t>5117N</t>
  </si>
  <si>
    <t>00034E</t>
  </si>
  <si>
    <t>EV97 Eurostar</t>
  </si>
  <si>
    <t>5237N</t>
  </si>
  <si>
    <t>00309W</t>
  </si>
  <si>
    <t>Welshpool</t>
  </si>
  <si>
    <t>RJ1H</t>
  </si>
  <si>
    <t>00036E</t>
  </si>
  <si>
    <t>B737-800</t>
  </si>
  <si>
    <t>5349N</t>
  </si>
  <si>
    <t>00135W</t>
  </si>
  <si>
    <t>Be20</t>
  </si>
  <si>
    <t>5100N</t>
  </si>
  <si>
    <t>00119W</t>
  </si>
  <si>
    <t>Southampton Airport</t>
  </si>
  <si>
    <t>5059N</t>
  </si>
  <si>
    <t>00120W</t>
  </si>
  <si>
    <t>Chinook</t>
  </si>
  <si>
    <t>00105W</t>
  </si>
  <si>
    <t>Odiham</t>
  </si>
  <si>
    <t>00042W</t>
  </si>
  <si>
    <t>Dornier D328-100</t>
  </si>
  <si>
    <t>5326N</t>
  </si>
  <si>
    <t>00205W</t>
  </si>
  <si>
    <t>Stockport</t>
  </si>
  <si>
    <t xml:space="preserve">A321-231 </t>
  </si>
  <si>
    <t>5226N</t>
  </si>
  <si>
    <t>00143W</t>
  </si>
  <si>
    <t>Birmingham Airport</t>
  </si>
  <si>
    <t>B738</t>
  </si>
  <si>
    <t>5154N</t>
  </si>
  <si>
    <t>00024E</t>
  </si>
  <si>
    <t>London Stansted</t>
  </si>
  <si>
    <t>E170</t>
  </si>
  <si>
    <t>00006W</t>
  </si>
  <si>
    <t>00034W</t>
  </si>
  <si>
    <t>5139N</t>
  </si>
  <si>
    <t>00013W</t>
  </si>
  <si>
    <t>E190</t>
  </si>
  <si>
    <t>00011 E</t>
  </si>
  <si>
    <t>5128N</t>
  </si>
  <si>
    <t>00031W</t>
  </si>
  <si>
    <t>Dornier 328-100</t>
  </si>
  <si>
    <t>5323N</t>
  </si>
  <si>
    <t>PA28RT-201</t>
  </si>
  <si>
    <t>00206W</t>
  </si>
  <si>
    <t>5228N</t>
  </si>
  <si>
    <t>00025W</t>
  </si>
  <si>
    <t>C560X</t>
  </si>
  <si>
    <t>00010E</t>
  </si>
  <si>
    <t>G2CA</t>
  </si>
  <si>
    <t>London Colney</t>
  </si>
  <si>
    <t>A380</t>
  </si>
  <si>
    <t>5216N</t>
  </si>
  <si>
    <t>00022W</t>
  </si>
  <si>
    <t>A321</t>
  </si>
  <si>
    <t>00043W</t>
  </si>
  <si>
    <t>5119N</t>
  </si>
  <si>
    <t>00023W</t>
  </si>
  <si>
    <t>00017W</t>
  </si>
  <si>
    <t>00006E</t>
  </si>
  <si>
    <t>5109N</t>
  </si>
  <si>
    <t>00010W</t>
  </si>
  <si>
    <t>5101N</t>
  </si>
  <si>
    <t>00013E</t>
  </si>
  <si>
    <t>GR4</t>
  </si>
  <si>
    <t>5600N</t>
  </si>
  <si>
    <t>00233W</t>
  </si>
  <si>
    <t>Dunbar</t>
  </si>
  <si>
    <t>East Midlands</t>
  </si>
  <si>
    <t>00002E</t>
  </si>
  <si>
    <t>00104W</t>
  </si>
  <si>
    <t>Benson</t>
  </si>
  <si>
    <t>5506N</t>
  </si>
  <si>
    <t>00127W</t>
  </si>
  <si>
    <t>Newcastle</t>
  </si>
  <si>
    <t>5141N</t>
  </si>
  <si>
    <t>00024W</t>
  </si>
  <si>
    <t>5554N</t>
  </si>
  <si>
    <t>00422W</t>
  </si>
  <si>
    <t>B757</t>
  </si>
  <si>
    <t>5322N</t>
  </si>
  <si>
    <t>00212W</t>
  </si>
  <si>
    <t>5135N</t>
  </si>
  <si>
    <t>00015W</t>
  </si>
  <si>
    <t>00009W</t>
  </si>
  <si>
    <t>5052N</t>
  </si>
  <si>
    <t>Shoreham</t>
  </si>
  <si>
    <t>Civil Helicopter</t>
  </si>
  <si>
    <t>5339N</t>
  </si>
  <si>
    <t>00234W</t>
  </si>
  <si>
    <t>Wigan</t>
  </si>
  <si>
    <t>Europa</t>
  </si>
  <si>
    <t>00121W</t>
  </si>
  <si>
    <t>East Hanney</t>
  </si>
  <si>
    <t>00018W</t>
  </si>
  <si>
    <t>DR400</t>
  </si>
  <si>
    <t>00039W</t>
  </si>
  <si>
    <t>B787</t>
  </si>
  <si>
    <t>00027W</t>
  </si>
  <si>
    <t>Ockham</t>
  </si>
  <si>
    <t>00020W</t>
  </si>
  <si>
    <t>S92</t>
  </si>
  <si>
    <t>5454N</t>
  </si>
  <si>
    <t>00255W</t>
  </si>
  <si>
    <t>Carlisle</t>
  </si>
  <si>
    <t>5107N</t>
  </si>
  <si>
    <t>5127N</t>
  </si>
  <si>
    <t>00040W</t>
  </si>
  <si>
    <t>5435N</t>
  </si>
  <si>
    <t>00249W</t>
  </si>
  <si>
    <t>Barton Fell</t>
  </si>
  <si>
    <t>5346N</t>
  </si>
  <si>
    <t>00301W</t>
  </si>
  <si>
    <t>Blackpool</t>
  </si>
  <si>
    <t>5159N</t>
  </si>
  <si>
    <t>00025E</t>
  </si>
  <si>
    <t>SF340</t>
  </si>
  <si>
    <t>5225N</t>
  </si>
  <si>
    <t>00014W</t>
  </si>
  <si>
    <t>5320N</t>
  </si>
  <si>
    <t>00147W</t>
  </si>
  <si>
    <t>Mam Tor, Castleton</t>
  </si>
  <si>
    <t>00021E</t>
  </si>
  <si>
    <t>00008W</t>
  </si>
  <si>
    <t>5222N</t>
  </si>
  <si>
    <t>00122W</t>
  </si>
  <si>
    <t>00012E</t>
  </si>
  <si>
    <t>00002W</t>
  </si>
  <si>
    <t>5136N</t>
  </si>
  <si>
    <t>Jabiru</t>
  </si>
  <si>
    <t>00308W</t>
  </si>
  <si>
    <t>CE560XL</t>
  </si>
  <si>
    <t>00018E</t>
  </si>
  <si>
    <t>Biggin Hill</t>
  </si>
  <si>
    <t>King Air</t>
  </si>
  <si>
    <t>5258N</t>
  </si>
  <si>
    <t>Cranwell</t>
  </si>
  <si>
    <t>A340</t>
  </si>
  <si>
    <t>00001E</t>
  </si>
  <si>
    <t>B747</t>
  </si>
  <si>
    <t>00254W</t>
  </si>
  <si>
    <t>Liverpool Airport</t>
  </si>
  <si>
    <t>DA-42</t>
  </si>
  <si>
    <t>5158N</t>
  </si>
  <si>
    <t>00140W</t>
  </si>
  <si>
    <t>Morton-in-Marsh</t>
  </si>
  <si>
    <t>00005E</t>
  </si>
  <si>
    <t>00003E</t>
  </si>
  <si>
    <t>00128W</t>
  </si>
  <si>
    <t>Nr Wantage</t>
  </si>
  <si>
    <t>5108N</t>
  </si>
  <si>
    <t>00056W</t>
  </si>
  <si>
    <t>00001W</t>
  </si>
  <si>
    <t>00007E</t>
  </si>
  <si>
    <t>Biggin Hold</t>
  </si>
  <si>
    <t>5144N</t>
  </si>
  <si>
    <t>B767</t>
  </si>
  <si>
    <t>00215W</t>
  </si>
  <si>
    <t>5140N</t>
  </si>
  <si>
    <t>Brookmans Park</t>
  </si>
  <si>
    <t>00257W</t>
  </si>
  <si>
    <t>Cardiff</t>
  </si>
  <si>
    <t>EC145</t>
  </si>
  <si>
    <t>Lippitts Hill</t>
  </si>
  <si>
    <t>5505N</t>
  </si>
  <si>
    <t>00137W</t>
  </si>
  <si>
    <t>Newcastle Airport</t>
  </si>
  <si>
    <t>00046W</t>
  </si>
  <si>
    <t>00055W</t>
  </si>
  <si>
    <t>CL605</t>
  </si>
  <si>
    <t>5149N</t>
  </si>
  <si>
    <t>London Luton</t>
  </si>
  <si>
    <t>Q400</t>
  </si>
  <si>
    <t>00146W</t>
  </si>
  <si>
    <t>5045N</t>
  </si>
  <si>
    <t>Bournemouth Airport</t>
  </si>
  <si>
    <t>00011W</t>
  </si>
  <si>
    <t>Tucano</t>
  </si>
  <si>
    <t>5413N</t>
  </si>
  <si>
    <t>00038W</t>
  </si>
  <si>
    <t>Vale of York</t>
  </si>
  <si>
    <t>C152</t>
  </si>
  <si>
    <t>5315N</t>
  </si>
  <si>
    <t>00057W</t>
  </si>
  <si>
    <t>Gamston</t>
  </si>
  <si>
    <t>5301N</t>
  </si>
  <si>
    <t>00131W</t>
  </si>
  <si>
    <t>5103N</t>
  </si>
  <si>
    <t>Chinoook</t>
  </si>
  <si>
    <t>5507N</t>
  </si>
  <si>
    <t>00656W</t>
  </si>
  <si>
    <t>Eglinton</t>
  </si>
  <si>
    <t>5046N</t>
  </si>
  <si>
    <t>00225W</t>
  </si>
  <si>
    <t>Jersey</t>
  </si>
  <si>
    <t>5137N</t>
  </si>
  <si>
    <t>5120N</t>
  </si>
  <si>
    <t>00008E</t>
  </si>
  <si>
    <t>00253W</t>
  </si>
  <si>
    <t>Colerne</t>
  </si>
  <si>
    <t>5536N</t>
  </si>
  <si>
    <t>00428W</t>
  </si>
  <si>
    <t>Kilmarnock</t>
  </si>
  <si>
    <t>B773ER</t>
  </si>
  <si>
    <t>5558N</t>
  </si>
  <si>
    <t>00306W</t>
  </si>
  <si>
    <t>Musselburgh</t>
  </si>
  <si>
    <t>00130W</t>
  </si>
  <si>
    <t>Faringdon</t>
  </si>
  <si>
    <t>C130</t>
  </si>
  <si>
    <t>Ladybower</t>
  </si>
  <si>
    <t>Olympic Park</t>
  </si>
  <si>
    <t>Ealing Park</t>
  </si>
  <si>
    <t>AA-1A</t>
  </si>
  <si>
    <t>5202N</t>
  </si>
  <si>
    <t>Henlow</t>
  </si>
  <si>
    <t>5156N</t>
  </si>
  <si>
    <t>5329N</t>
  </si>
  <si>
    <t>00214W</t>
  </si>
  <si>
    <t>5126N</t>
  </si>
  <si>
    <t>00058E</t>
  </si>
  <si>
    <t>Woking</t>
  </si>
  <si>
    <t>5124N</t>
  </si>
  <si>
    <t>00004W</t>
  </si>
  <si>
    <t>Biggin VOR</t>
  </si>
  <si>
    <t>5311N</t>
  </si>
  <si>
    <t>00413W</t>
  </si>
  <si>
    <t>Bangor</t>
  </si>
  <si>
    <t>B206</t>
  </si>
  <si>
    <t>London</t>
  </si>
  <si>
    <t>Squirrel</t>
  </si>
  <si>
    <t>5247N</t>
  </si>
  <si>
    <t>00244W</t>
  </si>
  <si>
    <t>Shawbury</t>
  </si>
  <si>
    <t>5054N</t>
  </si>
  <si>
    <t>00058W</t>
  </si>
  <si>
    <t>5243N</t>
  </si>
  <si>
    <t>00404W</t>
  </si>
  <si>
    <t>Barmouth Beach</t>
  </si>
  <si>
    <t>00033W</t>
  </si>
  <si>
    <t>Stoke Pogues</t>
  </si>
  <si>
    <t>Coningsby</t>
  </si>
  <si>
    <t>Eurostar</t>
  </si>
  <si>
    <t>5410N</t>
  </si>
  <si>
    <t>00242W</t>
  </si>
  <si>
    <t>Hest Bank</t>
  </si>
  <si>
    <t>5438N</t>
  </si>
  <si>
    <t>00157W</t>
  </si>
  <si>
    <t>TILNI Corridor</t>
  </si>
  <si>
    <t>00259W</t>
  </si>
  <si>
    <t>00209W</t>
  </si>
  <si>
    <t>5458N</t>
  </si>
  <si>
    <t>H125</t>
  </si>
  <si>
    <t>00047W</t>
  </si>
  <si>
    <t>Farnborough</t>
  </si>
  <si>
    <t>Hawk</t>
  </si>
  <si>
    <t>5005N</t>
  </si>
  <si>
    <t>00515W</t>
  </si>
  <si>
    <t>Culdrose</t>
  </si>
  <si>
    <t>5257N</t>
  </si>
  <si>
    <t>TNT VOR</t>
  </si>
  <si>
    <t>5200N</t>
  </si>
  <si>
    <t>South Beds</t>
  </si>
  <si>
    <t>5049N</t>
  </si>
  <si>
    <t>00027E</t>
  </si>
  <si>
    <t>5325N</t>
  </si>
  <si>
    <t>00251W</t>
  </si>
  <si>
    <t>Wildcat</t>
  </si>
  <si>
    <t>5111N</t>
  </si>
  <si>
    <t>00248W</t>
  </si>
  <si>
    <t>Glastonbury</t>
  </si>
  <si>
    <t>PA34</t>
  </si>
  <si>
    <t>00132W</t>
  </si>
  <si>
    <t>5232N</t>
  </si>
  <si>
    <t>00149W</t>
  </si>
  <si>
    <t>C402</t>
  </si>
  <si>
    <t>C550</t>
  </si>
  <si>
    <t>Northolt</t>
  </si>
  <si>
    <t>00252W</t>
  </si>
  <si>
    <t>5244N</t>
  </si>
  <si>
    <t>00228W</t>
  </si>
  <si>
    <t>Donnington</t>
  </si>
  <si>
    <t>00339W</t>
  </si>
  <si>
    <t>Edinburgh Airport</t>
  </si>
  <si>
    <t>00050W</t>
  </si>
  <si>
    <t>00053W</t>
  </si>
  <si>
    <t>AW189</t>
  </si>
  <si>
    <t>5048N</t>
  </si>
  <si>
    <t>Beaulieu</t>
  </si>
  <si>
    <t>00421W</t>
  </si>
  <si>
    <t>5741N</t>
  </si>
  <si>
    <t>Portsoy</t>
  </si>
  <si>
    <t>A139</t>
  </si>
  <si>
    <t>00101E</t>
  </si>
  <si>
    <t>Whitstable Bay</t>
  </si>
  <si>
    <t>F900</t>
  </si>
  <si>
    <t>00041W</t>
  </si>
  <si>
    <t>00011E</t>
  </si>
  <si>
    <t>Donna Nook AWR</t>
  </si>
  <si>
    <t>DA20</t>
  </si>
  <si>
    <t>5102N</t>
  </si>
  <si>
    <t>Butser Hill</t>
  </si>
  <si>
    <t>NK</t>
  </si>
  <si>
    <t>T67</t>
  </si>
  <si>
    <t>Redhill</t>
  </si>
  <si>
    <t>00005W</t>
  </si>
  <si>
    <t>00000W</t>
  </si>
  <si>
    <t>00033E</t>
  </si>
  <si>
    <t>Stapleford</t>
  </si>
  <si>
    <t>C177</t>
  </si>
  <si>
    <t>5305N</t>
  </si>
  <si>
    <t>CSDKK</t>
  </si>
  <si>
    <t>5343N</t>
  </si>
  <si>
    <t>Pole Hill</t>
  </si>
  <si>
    <t>C404</t>
  </si>
  <si>
    <t>00148W</t>
  </si>
  <si>
    <t>Morpeth</t>
  </si>
  <si>
    <t>5236N</t>
  </si>
  <si>
    <t>00102W</t>
  </si>
  <si>
    <t>Leicester</t>
  </si>
  <si>
    <t>00235W</t>
  </si>
  <si>
    <t>Chew Valley</t>
  </si>
  <si>
    <t>ATR75</t>
  </si>
  <si>
    <t>5112N</t>
  </si>
  <si>
    <t>00245W</t>
  </si>
  <si>
    <t>00320W</t>
  </si>
  <si>
    <t>5553N</t>
  </si>
  <si>
    <t>00323W</t>
  </si>
  <si>
    <t>Helicopter</t>
  </si>
  <si>
    <t>00202W</t>
  </si>
  <si>
    <t>Macclesfield Forest</t>
  </si>
  <si>
    <t>00021W</t>
  </si>
  <si>
    <t>5334N</t>
  </si>
  <si>
    <t>5147N</t>
  </si>
  <si>
    <t>00312W</t>
  </si>
  <si>
    <t>Ebbw Vale</t>
  </si>
  <si>
    <t>5056N</t>
  </si>
  <si>
    <t>5125N</t>
  </si>
  <si>
    <t>00218W</t>
  </si>
  <si>
    <t>5550N</t>
  </si>
  <si>
    <t>FA20</t>
  </si>
  <si>
    <t>5433N</t>
  </si>
  <si>
    <t>Durham Tees Valley</t>
  </si>
  <si>
    <t>5327N</t>
  </si>
  <si>
    <t>00158W</t>
  </si>
  <si>
    <t>Banbury</t>
  </si>
  <si>
    <t>5015N</t>
  </si>
  <si>
    <t>00508W</t>
  </si>
  <si>
    <t>Vans RV7</t>
  </si>
  <si>
    <t>5209N</t>
  </si>
  <si>
    <t>00109E</t>
  </si>
  <si>
    <t>Crowfield</t>
  </si>
  <si>
    <t>Falcon 20</t>
  </si>
  <si>
    <t>5504N</t>
  </si>
  <si>
    <t>Voyager</t>
  </si>
  <si>
    <t>5142N</t>
  </si>
  <si>
    <t>Brize Norton</t>
  </si>
  <si>
    <t>Leigh Flash VRP</t>
  </si>
  <si>
    <t>2 x Tornado</t>
  </si>
  <si>
    <t>5302N</t>
  </si>
  <si>
    <t>Newark</t>
  </si>
  <si>
    <t>00213W</t>
  </si>
  <si>
    <t>Dornier 328</t>
  </si>
  <si>
    <t>2 x Light Aircraft</t>
  </si>
  <si>
    <t>5053N</t>
  </si>
  <si>
    <t>Arundel</t>
  </si>
  <si>
    <t>PA31</t>
  </si>
  <si>
    <t>BN2P Islander</t>
  </si>
  <si>
    <t>5859N</t>
  </si>
  <si>
    <t>Kirkwall</t>
  </si>
  <si>
    <t>ASK21</t>
  </si>
  <si>
    <t>5151N</t>
  </si>
  <si>
    <t>London Gliding Club</t>
  </si>
  <si>
    <t>00019W</t>
  </si>
  <si>
    <t>0053W</t>
  </si>
  <si>
    <t>2 x F15</t>
  </si>
  <si>
    <t>5042N</t>
  </si>
  <si>
    <t>00353W</t>
  </si>
  <si>
    <t>Oakhamton</t>
  </si>
  <si>
    <t>EC135</t>
  </si>
  <si>
    <t>00052W</t>
  </si>
  <si>
    <t>Winslow</t>
  </si>
  <si>
    <t>F15</t>
  </si>
  <si>
    <t>RAF Lakenheath</t>
  </si>
  <si>
    <t>Falcon 2000</t>
  </si>
  <si>
    <t>00012W</t>
  </si>
  <si>
    <t>RAF Northolt</t>
  </si>
  <si>
    <t>5312N</t>
  </si>
  <si>
    <t>00159W</t>
  </si>
  <si>
    <t>B744</t>
  </si>
  <si>
    <t>5115N</t>
  </si>
  <si>
    <t>5306N</t>
  </si>
  <si>
    <t>5034N</t>
  </si>
  <si>
    <t>00455W</t>
  </si>
  <si>
    <t>Polzeath</t>
  </si>
  <si>
    <t>E195</t>
  </si>
  <si>
    <t>00317W</t>
  </si>
  <si>
    <t>Exeter</t>
  </si>
  <si>
    <t>5206N</t>
  </si>
  <si>
    <t>Guilden Morden</t>
  </si>
  <si>
    <t>Luton Airport</t>
  </si>
  <si>
    <t>5316N</t>
  </si>
  <si>
    <t>Kingsley</t>
  </si>
  <si>
    <t>00028W</t>
  </si>
  <si>
    <t>DH84</t>
  </si>
  <si>
    <t>Bovingdon</t>
  </si>
  <si>
    <t>Liberty XL2</t>
  </si>
  <si>
    <t>00004E</t>
  </si>
  <si>
    <t>Biggin</t>
  </si>
  <si>
    <t>Chippenham</t>
  </si>
  <si>
    <t>5150N</t>
  </si>
  <si>
    <t>00153W</t>
  </si>
  <si>
    <t>PC12</t>
  </si>
  <si>
    <t>Denham</t>
  </si>
  <si>
    <t>5347N</t>
  </si>
  <si>
    <t>Garforth</t>
  </si>
  <si>
    <t>5134N</t>
  </si>
  <si>
    <t>C56X</t>
  </si>
  <si>
    <t>Guildford</t>
  </si>
  <si>
    <t>5250N</t>
  </si>
  <si>
    <t>00129W</t>
  </si>
  <si>
    <t>MD900</t>
  </si>
  <si>
    <t>RV-8</t>
  </si>
  <si>
    <t>South Yately</t>
  </si>
  <si>
    <t>00026W</t>
  </si>
  <si>
    <t>00106W</t>
  </si>
  <si>
    <t>Doncaster</t>
  </si>
  <si>
    <t>A388</t>
  </si>
  <si>
    <t>5319N</t>
  </si>
  <si>
    <t>00224W</t>
  </si>
  <si>
    <t>AW169</t>
  </si>
  <si>
    <t>A330</t>
  </si>
  <si>
    <t>Nanchang CJ6</t>
  </si>
  <si>
    <t>00115W</t>
  </si>
  <si>
    <t>Popham</t>
  </si>
  <si>
    <t>Osterley Park</t>
  </si>
  <si>
    <t>Embraer 145</t>
  </si>
  <si>
    <t>Freensham Green</t>
  </si>
  <si>
    <t>5448N</t>
  </si>
  <si>
    <t>00250W</t>
  </si>
  <si>
    <t>AGPED</t>
  </si>
  <si>
    <t>5215N</t>
  </si>
  <si>
    <t>Stowmarket</t>
  </si>
  <si>
    <t>Twin Aircraft</t>
  </si>
  <si>
    <t>5432N</t>
  </si>
  <si>
    <t>00155W</t>
  </si>
  <si>
    <t>Barnard Castle</t>
  </si>
  <si>
    <t>BE90</t>
  </si>
  <si>
    <t>5234N</t>
  </si>
  <si>
    <t>G450</t>
  </si>
  <si>
    <t>00035E</t>
  </si>
  <si>
    <t>E550</t>
  </si>
  <si>
    <t>FA7X</t>
  </si>
  <si>
    <t>00112W</t>
  </si>
  <si>
    <t>00207W</t>
  </si>
  <si>
    <t>Salisbury Plain</t>
  </si>
  <si>
    <t>00204W</t>
  </si>
  <si>
    <t>ATR72</t>
  </si>
  <si>
    <t>00258W</t>
  </si>
  <si>
    <t>5256N</t>
  </si>
  <si>
    <t>00116W</t>
  </si>
  <si>
    <t>Trowell</t>
  </si>
  <si>
    <t>5044N</t>
  </si>
  <si>
    <t>00322W</t>
  </si>
  <si>
    <t>Exeter Airport</t>
  </si>
  <si>
    <t>00014E</t>
  </si>
  <si>
    <t>ROPMU</t>
  </si>
  <si>
    <t>5116N</t>
  </si>
  <si>
    <t>00117E</t>
  </si>
  <si>
    <t>Ash (near Sandwich)</t>
  </si>
  <si>
    <t>5153N</t>
  </si>
  <si>
    <t>North Tuddenham</t>
  </si>
  <si>
    <t>Sidcup</t>
  </si>
  <si>
    <t>CS1</t>
  </si>
  <si>
    <t>Wittering</t>
  </si>
  <si>
    <t>00326W</t>
  </si>
  <si>
    <t>St Athan</t>
  </si>
  <si>
    <t>00059W</t>
  </si>
  <si>
    <t>East Midlands Airport</t>
  </si>
  <si>
    <t>CS3</t>
  </si>
  <si>
    <t>00220W</t>
  </si>
  <si>
    <t>00016E</t>
  </si>
  <si>
    <t>OKVIK</t>
  </si>
  <si>
    <t>Prefect</t>
  </si>
  <si>
    <t>5249N</t>
  </si>
  <si>
    <t>Spalding</t>
  </si>
  <si>
    <t>UMLAT</t>
  </si>
  <si>
    <t>5354N</t>
  </si>
  <si>
    <t>5204N</t>
  </si>
  <si>
    <t>00118E</t>
  </si>
  <si>
    <t>Martlesham Creek</t>
  </si>
  <si>
    <t>CSDRW</t>
  </si>
  <si>
    <t>5211N</t>
  </si>
  <si>
    <t>Twinwoods</t>
  </si>
  <si>
    <t>5425N</t>
  </si>
  <si>
    <t>00520W</t>
  </si>
  <si>
    <t>Portavogie</t>
  </si>
  <si>
    <t>00256W</t>
  </si>
  <si>
    <t>PA18</t>
  </si>
  <si>
    <t>5626N</t>
  </si>
  <si>
    <t>00324W</t>
  </si>
  <si>
    <t>Perth</t>
  </si>
  <si>
    <t>00049W</t>
  </si>
  <si>
    <t>Saab 2000</t>
  </si>
  <si>
    <t>5545N</t>
  </si>
  <si>
    <t>00438W</t>
  </si>
  <si>
    <t>00103E</t>
  </si>
  <si>
    <t>5019N</t>
  </si>
  <si>
    <t>00457W</t>
  </si>
  <si>
    <t>Ladock, Cornwall</t>
  </si>
  <si>
    <t>5604N</t>
  </si>
  <si>
    <t>00315W</t>
  </si>
  <si>
    <t>00045E</t>
  </si>
  <si>
    <t>E175/E195</t>
  </si>
  <si>
    <t>00420W</t>
  </si>
  <si>
    <t>00044W</t>
  </si>
  <si>
    <t>Chichester</t>
  </si>
  <si>
    <t>Typhoon</t>
  </si>
  <si>
    <t>Grimsby</t>
  </si>
  <si>
    <t>C406</t>
  </si>
  <si>
    <t>00100W</t>
  </si>
  <si>
    <t>Towcester</t>
  </si>
  <si>
    <t>B788</t>
  </si>
  <si>
    <t>Oakham</t>
  </si>
  <si>
    <t>Gulfstream 5</t>
  </si>
  <si>
    <t>B772</t>
  </si>
  <si>
    <t>5057N</t>
  </si>
  <si>
    <t>NONVA</t>
  </si>
  <si>
    <t>5342N</t>
  </si>
  <si>
    <t>00142W</t>
  </si>
  <si>
    <t>AT76</t>
  </si>
  <si>
    <t>Avonmouth VRP</t>
  </si>
  <si>
    <t>5105N</t>
  </si>
  <si>
    <t>00035W</t>
  </si>
  <si>
    <t>Warwick</t>
  </si>
  <si>
    <t>00113W</t>
  </si>
  <si>
    <t>5328N</t>
  </si>
  <si>
    <t>Ventus</t>
  </si>
  <si>
    <t>M54 Jn3</t>
  </si>
  <si>
    <t>BE76</t>
  </si>
  <si>
    <t>00107W</t>
  </si>
  <si>
    <t>Compton</t>
  </si>
  <si>
    <t>B789</t>
  </si>
  <si>
    <t>B775</t>
  </si>
  <si>
    <t>5555N</t>
  </si>
  <si>
    <t>00303W</t>
  </si>
  <si>
    <t>5104N</t>
  </si>
  <si>
    <t>00028E</t>
  </si>
  <si>
    <t>Chelmsford</t>
  </si>
  <si>
    <t>5227N</t>
  </si>
  <si>
    <t>00145W</t>
  </si>
  <si>
    <t>Eurofox</t>
  </si>
  <si>
    <t>5353N</t>
  </si>
  <si>
    <t>Pocklington</t>
  </si>
  <si>
    <t>Bishops Waltham</t>
  </si>
  <si>
    <t>5356N</t>
  </si>
  <si>
    <t>C180</t>
  </si>
  <si>
    <t>Harlow</t>
  </si>
  <si>
    <t>5602N</t>
  </si>
  <si>
    <t>00327W</t>
  </si>
  <si>
    <t>Stansted</t>
  </si>
  <si>
    <t>Avro RJ</t>
  </si>
  <si>
    <t>Boscombe Down</t>
  </si>
  <si>
    <t>Saab 340</t>
  </si>
  <si>
    <t>5344N</t>
  </si>
  <si>
    <t>Dash 8</t>
  </si>
  <si>
    <t>00221W</t>
  </si>
  <si>
    <t>Dorchester</t>
  </si>
  <si>
    <t>5331N</t>
  </si>
  <si>
    <t>00217W</t>
  </si>
  <si>
    <t>Salford</t>
  </si>
  <si>
    <t>00103W</t>
  </si>
  <si>
    <t>Finmere</t>
  </si>
  <si>
    <t>5510N</t>
  </si>
  <si>
    <t>00649W</t>
  </si>
  <si>
    <t>Downhill</t>
  </si>
  <si>
    <t>5542N</t>
  </si>
  <si>
    <t>RAF Coningsby</t>
  </si>
  <si>
    <t>00136E</t>
  </si>
  <si>
    <t>LOGAN</t>
  </si>
  <si>
    <t>BRASO</t>
  </si>
  <si>
    <t>5224N</t>
  </si>
  <si>
    <t>00126W</t>
  </si>
  <si>
    <t>Daventry</t>
  </si>
  <si>
    <t>5603N</t>
  </si>
  <si>
    <t>00304W</t>
  </si>
  <si>
    <t>DA40</t>
  </si>
  <si>
    <t>Cranfield</t>
  </si>
  <si>
    <t>Global Express</t>
  </si>
  <si>
    <t xml:space="preserve">London Heathrow </t>
  </si>
  <si>
    <t>PA15</t>
  </si>
  <si>
    <t>Corsham</t>
  </si>
  <si>
    <t>CL60</t>
  </si>
  <si>
    <t>Embraer 170</t>
  </si>
  <si>
    <t>Romford</t>
  </si>
  <si>
    <t>Embraer 175</t>
  </si>
  <si>
    <t>5233N</t>
  </si>
  <si>
    <t>Wakefield</t>
  </si>
  <si>
    <t>Gravesend</t>
  </si>
  <si>
    <t>5332N</t>
  </si>
  <si>
    <t>5152N</t>
  </si>
  <si>
    <t>5220N</t>
  </si>
  <si>
    <t>00356W</t>
  </si>
  <si>
    <t>Swansea</t>
  </si>
  <si>
    <t>Yeovilton</t>
  </si>
  <si>
    <t>SK92</t>
  </si>
  <si>
    <t>5716N</t>
  </si>
  <si>
    <t>Aberdeen</t>
  </si>
  <si>
    <t>5423N</t>
  </si>
  <si>
    <t>SUBUK</t>
  </si>
  <si>
    <t>5345N</t>
  </si>
  <si>
    <t>00240W</t>
  </si>
  <si>
    <t>Preston</t>
  </si>
  <si>
    <t>5627N</t>
  </si>
  <si>
    <t>Broughty Castle</t>
  </si>
  <si>
    <t>Alexandra Palace</t>
  </si>
  <si>
    <t>00109W</t>
  </si>
  <si>
    <t>Silverstone</t>
  </si>
  <si>
    <t>00111W</t>
  </si>
  <si>
    <t>Sheffield</t>
  </si>
  <si>
    <t>00144W</t>
  </si>
  <si>
    <t>Helo</t>
  </si>
  <si>
    <t>Kite</t>
  </si>
  <si>
    <t xml:space="preserve">5229N </t>
  </si>
  <si>
    <t>Bexhill-on-Sea</t>
  </si>
  <si>
    <t>Embraer 190</t>
  </si>
  <si>
    <t>SODVU</t>
  </si>
  <si>
    <t>5348N</t>
  </si>
  <si>
    <t>00134W</t>
  </si>
  <si>
    <t>00156W</t>
  </si>
  <si>
    <t>Pilatus PC21</t>
  </si>
  <si>
    <t>Cabri</t>
  </si>
  <si>
    <t xml:space="preserve">5025N </t>
  </si>
  <si>
    <t>00403W</t>
  </si>
  <si>
    <t>Plympton</t>
  </si>
  <si>
    <t xml:space="preserve">5120N </t>
  </si>
  <si>
    <t>Gatwick</t>
  </si>
  <si>
    <t>5318N</t>
  </si>
  <si>
    <t>Gamston ATZ</t>
  </si>
  <si>
    <t>5439N</t>
  </si>
  <si>
    <t>000131W</t>
  </si>
  <si>
    <t>Newton Aycliffe</t>
  </si>
  <si>
    <t>00154W</t>
  </si>
  <si>
    <t>Shadow</t>
  </si>
  <si>
    <t>5500N</t>
  </si>
  <si>
    <t>00720W</t>
  </si>
  <si>
    <t>Londonderry</t>
  </si>
  <si>
    <t>AS355</t>
  </si>
  <si>
    <t xml:space="preserve">5626N </t>
  </si>
  <si>
    <t>Perth ATZ</t>
  </si>
  <si>
    <t>London CTR</t>
  </si>
  <si>
    <t>LTMA</t>
  </si>
  <si>
    <t>C172</t>
  </si>
  <si>
    <t>00554W</t>
  </si>
  <si>
    <t>Scottish FIR</t>
  </si>
  <si>
    <t>C560XL</t>
  </si>
  <si>
    <t>London TMA</t>
  </si>
  <si>
    <t>5254N</t>
  </si>
  <si>
    <t>East Midlands CTR</t>
  </si>
  <si>
    <t>EMB505</t>
  </si>
  <si>
    <t>5217N</t>
  </si>
  <si>
    <t>Birmingham CTA</t>
  </si>
  <si>
    <t>Leeds CTR</t>
  </si>
  <si>
    <t>Manchester TMA</t>
  </si>
  <si>
    <t>EC315</t>
  </si>
  <si>
    <t>5706N</t>
  </si>
  <si>
    <t>Aberdeen CTR</t>
  </si>
  <si>
    <t>Mancheter CTR</t>
  </si>
  <si>
    <t>Stansted CTR</t>
  </si>
  <si>
    <t>FR20</t>
  </si>
  <si>
    <t>Birmingham CTR</t>
  </si>
  <si>
    <t>White Waltham ATZ</t>
  </si>
  <si>
    <t>London FIR</t>
  </si>
  <si>
    <t>5028N</t>
  </si>
  <si>
    <t>Cirrus 22T</t>
  </si>
  <si>
    <t>A400</t>
  </si>
  <si>
    <t>5421N</t>
  </si>
  <si>
    <t>UK Reported UAS Strikes</t>
  </si>
  <si>
    <t>DA 40</t>
  </si>
  <si>
    <t>Location</t>
  </si>
  <si>
    <t>Height</t>
  </si>
  <si>
    <t>Report Source</t>
  </si>
  <si>
    <t>Pioneer 300 (F-GSBM) vs Valenta Ray X</t>
  </si>
  <si>
    <t>Upton-upon-Severn</t>
  </si>
  <si>
    <t>AAIB 2018 Annual Report</t>
  </si>
  <si>
    <t>00305W</t>
  </si>
  <si>
    <t>Robin DR400 (G-OFPA) vs SAS Wildthing model glider</t>
  </si>
  <si>
    <t>BA A320 (G-EUYP - BAW27G) vs Unknown</t>
  </si>
  <si>
    <t>Heathrow</t>
  </si>
  <si>
    <t>1700ft</t>
  </si>
  <si>
    <t>CAA MOR 201604902 unconfirmed</t>
  </si>
  <si>
    <t>SPTA</t>
  </si>
  <si>
    <t>BA146</t>
  </si>
  <si>
    <t>Numbers of Drone Operator reported Airprox (associated 'Aircraft' highlighted in red bold)</t>
  </si>
  <si>
    <t>Cessna 406</t>
  </si>
  <si>
    <t>00243W</t>
  </si>
  <si>
    <t>Bristol CTR</t>
  </si>
  <si>
    <t>Londom CTR</t>
  </si>
  <si>
    <t>5608N</t>
  </si>
  <si>
    <t>TB10</t>
  </si>
  <si>
    <t>5055N</t>
  </si>
  <si>
    <t>00125W</t>
  </si>
  <si>
    <t>Southampto CTR</t>
  </si>
  <si>
    <t>London/City CTR</t>
  </si>
  <si>
    <t>Robin</t>
  </si>
  <si>
    <t>5538N</t>
  </si>
  <si>
    <t>00216W</t>
  </si>
  <si>
    <t>Unknown ac</t>
  </si>
  <si>
    <t>5429N</t>
  </si>
  <si>
    <t>00526W</t>
  </si>
  <si>
    <t>AA5</t>
  </si>
  <si>
    <t>5248N</t>
  </si>
  <si>
    <t>00045W</t>
  </si>
  <si>
    <t>Halton ATZ</t>
  </si>
  <si>
    <t>5601N</t>
  </si>
  <si>
    <t>00311W</t>
  </si>
  <si>
    <t>Edinburgh CTR</t>
  </si>
  <si>
    <t>Texan T1</t>
  </si>
  <si>
    <t>5508N</t>
  </si>
  <si>
    <t>00412W</t>
  </si>
  <si>
    <t>Historic Summary</t>
  </si>
  <si>
    <t>Total</t>
  </si>
  <si>
    <t>BE200</t>
  </si>
  <si>
    <t>Stanstead CTR</t>
  </si>
  <si>
    <t>Interactive Pivot Table</t>
  </si>
  <si>
    <t>BE20</t>
  </si>
  <si>
    <t>5330N</t>
  </si>
  <si>
    <t>Manchester CTR</t>
  </si>
  <si>
    <t>A220</t>
  </si>
  <si>
    <t>Percentage Distribution by Type</t>
  </si>
  <si>
    <t>E Mids CTA</t>
  </si>
  <si>
    <t>Count of Airprox No</t>
  </si>
  <si>
    <t>E Mids CTR</t>
  </si>
  <si>
    <t>Row Labels</t>
  </si>
  <si>
    <t>Grand Total</t>
  </si>
  <si>
    <t>C208</t>
  </si>
  <si>
    <t>00039E</t>
  </si>
  <si>
    <t>Emb 175</t>
  </si>
  <si>
    <t>C525</t>
  </si>
  <si>
    <t>SportCruiser</t>
  </si>
  <si>
    <t>C680</t>
  </si>
  <si>
    <t>Glasgow CTR</t>
  </si>
  <si>
    <t>5434N</t>
  </si>
  <si>
    <t>Teeside CTR</t>
  </si>
  <si>
    <t>5230N</t>
  </si>
  <si>
    <t>Manchester CTA</t>
  </si>
  <si>
    <t>Quik GTR</t>
  </si>
  <si>
    <t>00023E</t>
  </si>
  <si>
    <t>5426N</t>
  </si>
  <si>
    <t>C182</t>
  </si>
  <si>
    <t>LBA CTR</t>
  </si>
  <si>
    <t>5452N</t>
  </si>
  <si>
    <t>Borders CTA</t>
  </si>
  <si>
    <t>5503N</t>
  </si>
  <si>
    <t>00139W</t>
  </si>
  <si>
    <t>Newcastle CTR</t>
  </si>
  <si>
    <t>002116W</t>
  </si>
  <si>
    <t>5148N</t>
  </si>
  <si>
    <t>00017E</t>
  </si>
  <si>
    <t>5447N</t>
  </si>
  <si>
    <t>Skyranger</t>
  </si>
  <si>
    <t>00107E</t>
  </si>
  <si>
    <t>AW109</t>
  </si>
  <si>
    <t>Hang Glider</t>
  </si>
  <si>
    <t>5219N</t>
  </si>
  <si>
    <t>00136W</t>
  </si>
  <si>
    <t>Daventry CTA</t>
  </si>
  <si>
    <t>00545W</t>
  </si>
  <si>
    <t>Belfast/City CTA</t>
  </si>
  <si>
    <t>00549W</t>
  </si>
  <si>
    <t>Belfast/City CTR</t>
  </si>
  <si>
    <t>H145</t>
  </si>
  <si>
    <t>5341N</t>
  </si>
  <si>
    <t>00052E</t>
  </si>
  <si>
    <t>EG D323D</t>
  </si>
  <si>
    <t>Jetstream</t>
  </si>
  <si>
    <t>5155N</t>
  </si>
  <si>
    <t>A109</t>
  </si>
  <si>
    <t>Gatwick CTR</t>
  </si>
  <si>
    <t>5145N</t>
  </si>
  <si>
    <t>Ozone</t>
  </si>
  <si>
    <t>Cabri G2</t>
  </si>
  <si>
    <t>P68</t>
  </si>
  <si>
    <t>00051W</t>
  </si>
  <si>
    <t>Doncaster CTR</t>
  </si>
  <si>
    <t>00114E</t>
  </si>
  <si>
    <t>Clacton CTA</t>
  </si>
  <si>
    <t xml:space="preserve">5132N </t>
  </si>
  <si>
    <t>00036 W</t>
  </si>
  <si>
    <t>00227W</t>
  </si>
  <si>
    <t xml:space="preserve"> 00326 W</t>
  </si>
  <si>
    <t>Learjet 75</t>
  </si>
  <si>
    <t>5630N</t>
  </si>
  <si>
    <t>Leeds/Bradford CTA</t>
  </si>
  <si>
    <t>Machester TMA</t>
  </si>
  <si>
    <t>EMB 190</t>
  </si>
  <si>
    <t>PA25</t>
  </si>
  <si>
    <t>5414N</t>
  </si>
  <si>
    <t>5033N</t>
  </si>
  <si>
    <t>5043N</t>
  </si>
  <si>
    <t>00133W</t>
  </si>
  <si>
    <t xml:space="preserve">5139N </t>
  </si>
  <si>
    <t xml:space="preserve">5128N </t>
  </si>
  <si>
    <t>00137E</t>
  </si>
  <si>
    <t>London UIR</t>
  </si>
  <si>
    <t>Luton CTA</t>
  </si>
  <si>
    <t>EMB190</t>
  </si>
  <si>
    <t>London City CTR</t>
  </si>
  <si>
    <t>00051E</t>
  </si>
  <si>
    <t>Lomdon TMA</t>
  </si>
  <si>
    <t>Luton CTR</t>
  </si>
  <si>
    <t>5657N</t>
  </si>
  <si>
    <t>Bournemouth CTR</t>
  </si>
  <si>
    <t>5238N</t>
  </si>
  <si>
    <t>F35</t>
  </si>
  <si>
    <t>5304N</t>
  </si>
  <si>
    <t>00030W</t>
  </si>
  <si>
    <t>Juno</t>
  </si>
  <si>
    <t>00548W</t>
  </si>
  <si>
    <t>Belfast TMA</t>
  </si>
  <si>
    <t>F406</t>
  </si>
  <si>
    <t>EC175</t>
  </si>
  <si>
    <t>INSERT ROWS ABOVE THIS LINE TO CAPTURE DATA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</si>
  <si>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</si>
  <si>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</si>
  <si>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</si>
  <si>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</si>
  <si>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</si>
  <si>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</si>
  <si>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</si>
  <si>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</si>
  <si>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</si>
  <si>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</si>
  <si>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</si>
  <si>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</si>
  <si>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Up to Airprox</t>
  </si>
  <si>
    <t>Previous 5-yr's Average</t>
  </si>
  <si>
    <t>Relevant legislation</t>
  </si>
  <si>
    <t>All drones restricted to less than 400ft unless approved</t>
  </si>
  <si>
    <t>All drones to be greater than 1km from airfield boundaries</t>
  </si>
  <si>
    <t>ANO change with FRZs incorporated</t>
  </si>
  <si>
    <t>Altitude Blocks</t>
  </si>
  <si>
    <t>Data updated up to Airprox</t>
  </si>
  <si>
    <t>0-500</t>
  </si>
  <si>
    <t>501-1000</t>
  </si>
  <si>
    <t>1001-2000</t>
  </si>
  <si>
    <t>2001-3000</t>
  </si>
  <si>
    <t>3001-4000</t>
  </si>
  <si>
    <t>4001-5000</t>
  </si>
  <si>
    <t>5001-6000</t>
  </si>
  <si>
    <t>6001-7000</t>
  </si>
  <si>
    <t>7001-8000</t>
  </si>
  <si>
    <t>8001-9000</t>
  </si>
  <si>
    <t>9001-10000</t>
  </si>
  <si>
    <t>10001-11000</t>
  </si>
  <si>
    <t>11001-12000</t>
  </si>
  <si>
    <t>12001-13000</t>
  </si>
  <si>
    <t>13001-14000</t>
  </si>
  <si>
    <t>14001-15000</t>
  </si>
  <si>
    <t>15001-16000</t>
  </si>
  <si>
    <t>16001-17000</t>
  </si>
  <si>
    <t>17001-18000</t>
  </si>
  <si>
    <t>&gt;18000</t>
  </si>
  <si>
    <t>Altitude data automatically populates from the 0-500 worksheet</t>
  </si>
  <si>
    <t>0-1000</t>
  </si>
  <si>
    <t>00031E</t>
  </si>
  <si>
    <t>5709N</t>
  </si>
  <si>
    <t>00203W</t>
  </si>
  <si>
    <t>00108W</t>
  </si>
  <si>
    <t>Southern CTA</t>
  </si>
  <si>
    <t>5552N</t>
  </si>
  <si>
    <t>00426W</t>
  </si>
  <si>
    <t>5436N</t>
  </si>
  <si>
    <t>00531W</t>
  </si>
  <si>
    <t>A400M</t>
  </si>
  <si>
    <t>5456N</t>
  </si>
  <si>
    <t>00151W</t>
  </si>
  <si>
    <t>Newcastle CTA</t>
  </si>
  <si>
    <t>EV97</t>
  </si>
  <si>
    <t>00550W</t>
  </si>
  <si>
    <t>Belfast City CTR</t>
  </si>
  <si>
    <t>5310N</t>
  </si>
  <si>
    <t>00048W</t>
  </si>
  <si>
    <t>Puma</t>
  </si>
  <si>
    <t>5009N</t>
  </si>
  <si>
    <t>00503W</t>
  </si>
  <si>
    <t>Robin HR200</t>
  </si>
  <si>
    <t>5207N</t>
  </si>
  <si>
    <t>00113E</t>
  </si>
  <si>
    <t>A350</t>
  </si>
  <si>
    <t>000253W</t>
  </si>
  <si>
    <t>Texan II</t>
  </si>
  <si>
    <t>Coningsby MATZ</t>
  </si>
  <si>
    <t>5358N</t>
  </si>
  <si>
    <t>VATA</t>
  </si>
  <si>
    <t>00048E</t>
  </si>
  <si>
    <t>Osprey</t>
  </si>
  <si>
    <t>C42</t>
  </si>
  <si>
    <t>Texan</t>
  </si>
  <si>
    <t>EuroFox</t>
  </si>
  <si>
    <t>Teesside CTR</t>
  </si>
  <si>
    <t>Hawk T1</t>
  </si>
  <si>
    <t>Microlight</t>
  </si>
  <si>
    <t>Envoy IV</t>
  </si>
  <si>
    <t>00237W</t>
  </si>
  <si>
    <t>5245N</t>
  </si>
  <si>
    <t>East Midlands CTA</t>
  </si>
  <si>
    <t>5557N</t>
  </si>
  <si>
    <t>5255N</t>
  </si>
  <si>
    <t>Cessna 310Q</t>
  </si>
  <si>
    <t>00054W</t>
  </si>
  <si>
    <t>00238W</t>
  </si>
  <si>
    <t>Liverpool CTR</t>
  </si>
  <si>
    <t>5018N</t>
  </si>
  <si>
    <t>00518W</t>
  </si>
  <si>
    <t>Embraer E190</t>
  </si>
  <si>
    <t>S76</t>
  </si>
  <si>
    <t>00532W</t>
  </si>
  <si>
    <t>00316W</t>
  </si>
  <si>
    <t>Bell 429</t>
  </si>
  <si>
    <t>5539N</t>
  </si>
  <si>
    <t>Scottish TMA</t>
  </si>
  <si>
    <t>00333W</t>
  </si>
  <si>
    <t>5021N</t>
  </si>
  <si>
    <t>00409W</t>
  </si>
  <si>
    <t>00128E</t>
  </si>
  <si>
    <t>CAA MOR 202332634</t>
  </si>
  <si>
    <t>Glider at Dunstable Downs, struck by drone filming it</t>
  </si>
  <si>
    <t>Beagle Pup</t>
  </si>
  <si>
    <t>5512N</t>
  </si>
  <si>
    <t>00638W</t>
  </si>
  <si>
    <t>5251N</t>
  </si>
  <si>
    <t>00540W</t>
  </si>
  <si>
    <t>Newtownards ATZ</t>
  </si>
  <si>
    <t>5047N</t>
  </si>
  <si>
    <t>00115E</t>
  </si>
  <si>
    <t>Gloucester ATZ</t>
  </si>
  <si>
    <t>TB20</t>
  </si>
  <si>
    <t>Dauphin</t>
  </si>
  <si>
    <t>Jodel D112</t>
  </si>
  <si>
    <t>Reported as</t>
  </si>
  <si>
    <t>Drone/Model ac</t>
  </si>
  <si>
    <t>Model ac</t>
  </si>
  <si>
    <t>Arcus glider</t>
  </si>
  <si>
    <t>00246 W</t>
  </si>
  <si>
    <t>5409N</t>
  </si>
  <si>
    <t>5717N</t>
  </si>
  <si>
    <t>00542 W</t>
  </si>
  <si>
    <t>5528N</t>
  </si>
  <si>
    <t xml:space="preserve">5127N </t>
  </si>
  <si>
    <t xml:space="preserve">5348N </t>
  </si>
  <si>
    <t xml:space="preserve">5143N </t>
  </si>
  <si>
    <t xml:space="preserve">5130N </t>
  </si>
  <si>
    <t xml:space="preserve">5119N </t>
  </si>
  <si>
    <t xml:space="preserve">5136N </t>
  </si>
  <si>
    <t xml:space="preserve">5426N </t>
  </si>
  <si>
    <t>00302W</t>
  </si>
  <si>
    <t>Pioneer 300</t>
  </si>
  <si>
    <t xml:space="preserve">5216N </t>
  </si>
  <si>
    <t>00414W</t>
  </si>
  <si>
    <t>5205N</t>
  </si>
  <si>
    <t>Brize Norton CTR</t>
  </si>
  <si>
    <t>RV6</t>
  </si>
  <si>
    <t>RV7</t>
  </si>
  <si>
    <t>Learjet 45</t>
  </si>
  <si>
    <t>ATR42</t>
  </si>
  <si>
    <t>London/City CTA</t>
  </si>
  <si>
    <t>00235E</t>
  </si>
  <si>
    <t>00227 W</t>
  </si>
  <si>
    <t>5214N</t>
  </si>
  <si>
    <t>Shobdon ATZ</t>
  </si>
  <si>
    <t>5616N</t>
  </si>
  <si>
    <t>00335W</t>
  </si>
  <si>
    <t>Tay CTA</t>
  </si>
  <si>
    <t>Risk+J:K</t>
  </si>
  <si>
    <t>Balloon/Drone</t>
  </si>
  <si>
    <t>Ascot RA(T)</t>
  </si>
  <si>
    <t>00000E</t>
  </si>
  <si>
    <t>Alpi Pioneer</t>
  </si>
  <si>
    <t>5453N</t>
  </si>
  <si>
    <t>00605W</t>
  </si>
  <si>
    <t>5050N</t>
  </si>
  <si>
    <t>00029E</t>
  </si>
  <si>
    <t>2 x Drone</t>
  </si>
  <si>
    <t>Tecnam P2002</t>
  </si>
  <si>
    <t>00229W</t>
  </si>
  <si>
    <t>AS350</t>
  </si>
  <si>
    <t>5815N</t>
  </si>
  <si>
    <t>00501W</t>
  </si>
  <si>
    <t>5621N</t>
  </si>
  <si>
    <t>00328W</t>
  </si>
  <si>
    <t>5252N</t>
  </si>
  <si>
    <t>Ternhill ATZ</t>
  </si>
  <si>
    <t>Robinson R44</t>
  </si>
  <si>
    <t>WT9 Dynamic</t>
  </si>
  <si>
    <t>5336N</t>
  </si>
  <si>
    <t>00232W</t>
  </si>
  <si>
    <t>MD500</t>
  </si>
  <si>
    <t>5035N</t>
  </si>
  <si>
    <t>00219W</t>
  </si>
  <si>
    <t>Ikarus C42</t>
  </si>
  <si>
    <t>Hanglider</t>
  </si>
  <si>
    <t>5333N</t>
  </si>
  <si>
    <t>5537N</t>
  </si>
  <si>
    <t>Biggin Hill ATZ</t>
  </si>
  <si>
    <t>00434W</t>
  </si>
  <si>
    <t>00433W</t>
  </si>
  <si>
    <t>Valley FRZ</t>
  </si>
  <si>
    <t>Sandtoft ATZ</t>
  </si>
  <si>
    <t>00246W</t>
  </si>
  <si>
    <t>EG D3031</t>
  </si>
  <si>
    <t>630ft</t>
  </si>
  <si>
    <t>600-800</t>
  </si>
  <si>
    <t>Approach</t>
  </si>
  <si>
    <t>00125E</t>
  </si>
  <si>
    <t>00429W</t>
  </si>
  <si>
    <t>(Multiple Items)</t>
  </si>
  <si>
    <t>5450N</t>
  </si>
  <si>
    <t>EG R432</t>
  </si>
  <si>
    <t>EG D125</t>
  </si>
  <si>
    <t>Phenom</t>
  </si>
  <si>
    <t>R22</t>
  </si>
  <si>
    <t>00032E</t>
  </si>
  <si>
    <t>5440N</t>
  </si>
  <si>
    <t>00604W</t>
  </si>
  <si>
    <t>Belfast CTR</t>
  </si>
  <si>
    <t>5351N</t>
  </si>
  <si>
    <t>Leeds/Bradford CTR</t>
  </si>
  <si>
    <t>ERJ175</t>
  </si>
  <si>
    <t>Waddington ATZ</t>
  </si>
  <si>
    <t>5309N</t>
  </si>
  <si>
    <t>5729N</t>
  </si>
  <si>
    <t>5235N</t>
  </si>
  <si>
    <t>Bristol CTA</t>
  </si>
  <si>
    <t>5201N</t>
  </si>
  <si>
    <t>00337W</t>
  </si>
  <si>
    <t>EG D203</t>
  </si>
  <si>
    <t>5632N</t>
  </si>
  <si>
    <t>00344W</t>
  </si>
  <si>
    <t>Unknown helicopter</t>
  </si>
  <si>
    <t>00538W</t>
  </si>
  <si>
    <t>5511N</t>
  </si>
  <si>
    <t>00338W</t>
  </si>
  <si>
    <t>Stunt plane</t>
  </si>
  <si>
    <t>00056E</t>
  </si>
  <si>
    <t>5446N</t>
  </si>
  <si>
    <t>00020E</t>
  </si>
  <si>
    <t>EG D323</t>
  </si>
  <si>
    <t>00332W</t>
  </si>
  <si>
    <t>Humberside ATZ</t>
  </si>
  <si>
    <t>London CTR/EGR156</t>
  </si>
  <si>
    <t>00416W</t>
  </si>
  <si>
    <t>5517N</t>
  </si>
  <si>
    <t>Evektor SportStar</t>
  </si>
  <si>
    <t>Cotswold CTA</t>
  </si>
  <si>
    <t>Leeming ATZ</t>
  </si>
  <si>
    <t>00239W</t>
  </si>
  <si>
    <t>5417N</t>
  </si>
  <si>
    <t>PA22</t>
  </si>
  <si>
    <t>PA24</t>
  </si>
  <si>
    <t>to 2026193</t>
  </si>
  <si>
    <t>Pipistrel Alpha</t>
  </si>
  <si>
    <t>Gyrocopter</t>
  </si>
  <si>
    <t>Cranwell ATZ</t>
  </si>
  <si>
    <t>00418W</t>
  </si>
  <si>
    <t>Valley/Mona CMATZ</t>
  </si>
  <si>
    <t>00155E</t>
  </si>
  <si>
    <t>00152W</t>
  </si>
  <si>
    <t>Jabiru 450</t>
  </si>
  <si>
    <t>Columbia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</si>
</sst>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Arial"/>
      <family val="2"/>
    </font>
    <font>
      <b/>
      <sz val="11"/>
      <color rgb="FFFF0000"/>
      <name val="Wingdings"/>
      <charset val="2"/>
    </font>
    <font>
      <b/>
      <sz val="11"/>
      <color rgb="FFCC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9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1" xfId="1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1" fontId="0" fillId="0" borderId="1" xfId="0" applyNumberFormat="1" applyBorder="1" applyAlignment="1" applyProtection="1">
      <alignment horizontal="left" vertical="center"/>
      <protection locked="0"/>
    </xf>
    <xf numFmtId="1" fontId="0" fillId="2" borderId="1" xfId="1" applyNumberFormat="1" applyFont="1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1" fontId="0" fillId="2" borderId="1" xfId="0" applyNumberFormat="1" applyFill="1" applyBorder="1" applyAlignment="1" applyProtection="1">
      <alignment horizontal="left" vertical="center"/>
      <protection locked="0"/>
    </xf>
    <xf numFmtId="1" fontId="0" fillId="3" borderId="1" xfId="0" applyNumberForma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 applyProtection="1">
      <alignment vertical="center"/>
      <protection locked="0"/>
    </xf>
    <xf numFmtId="0" fontId="0" fillId="3" borderId="1" xfId="0" applyFill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14" fontId="0" fillId="4" borderId="1" xfId="0" applyNumberFormat="1" applyFill="1" applyBorder="1" applyAlignment="1">
      <alignment horizontal="left"/>
    </xf>
    <xf numFmtId="14" fontId="0" fillId="5" borderId="1" xfId="0" applyNumberForma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1" applyNumberFormat="1" applyFont="1" applyBorder="1" applyAlignment="1" applyProtection="1">
      <alignment horizontal="left" vertical="center"/>
      <protection locked="0"/>
    </xf>
    <xf numFmtId="14" fontId="0" fillId="2" borderId="1" xfId="1" applyNumberFormat="1" applyFont="1" applyFill="1" applyBorder="1" applyAlignment="1" applyProtection="1">
      <alignment horizontal="left" vertical="center"/>
      <protection locked="0"/>
    </xf>
    <xf numFmtId="14" fontId="0" fillId="0" borderId="1" xfId="0" applyNumberFormat="1" applyBorder="1" applyAlignment="1" applyProtection="1">
      <alignment horizontal="left" vertical="center"/>
      <protection locked="0"/>
    </xf>
    <xf numFmtId="14" fontId="0" fillId="2" borderId="1" xfId="0" applyNumberFormat="1" applyFill="1" applyBorder="1" applyAlignment="1" applyProtection="1">
      <alignment horizontal="left" vertical="center"/>
      <protection locked="0"/>
    </xf>
    <xf numFmtId="14" fontId="0" fillId="3" borderId="1" xfId="0" applyNumberFormat="1" applyFill="1" applyBorder="1" applyAlignment="1" applyProtection="1">
      <alignment horizontal="left" vertical="center"/>
      <protection locked="0"/>
    </xf>
    <xf numFmtId="14" fontId="0" fillId="0" borderId="0" xfId="0" applyNumberFormat="1" applyAlignment="1">
      <alignment horizontal="left"/>
    </xf>
    <xf numFmtId="0" fontId="0" fillId="0" borderId="1" xfId="0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0" fillId="4" borderId="2" xfId="0" applyFill="1" applyBorder="1" applyAlignment="1">
      <alignment horizontal="left"/>
    </xf>
    <xf numFmtId="14" fontId="0" fillId="4" borderId="2" xfId="0" applyNumberFormat="1" applyFill="1" applyBorder="1" applyAlignment="1">
      <alignment horizontal="left"/>
    </xf>
    <xf numFmtId="1" fontId="0" fillId="0" borderId="3" xfId="1" applyNumberFormat="1" applyFont="1" applyBorder="1" applyAlignment="1" applyProtection="1">
      <alignment horizontal="left" vertical="center"/>
      <protection locked="0"/>
    </xf>
    <xf numFmtId="14" fontId="0" fillId="0" borderId="3" xfId="1" applyNumberFormat="1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" fontId="0" fillId="0" borderId="3" xfId="0" applyNumberFormat="1" applyBorder="1" applyAlignment="1" applyProtection="1">
      <alignment horizontal="left" vertical="center"/>
      <protection locked="0"/>
    </xf>
    <xf numFmtId="14" fontId="0" fillId="0" borderId="3" xfId="0" applyNumberForma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vertical="center"/>
      <protection locked="0"/>
    </xf>
    <xf numFmtId="1" fontId="0" fillId="2" borderId="2" xfId="0" applyNumberFormat="1" applyFill="1" applyBorder="1" applyAlignment="1" applyProtection="1">
      <alignment horizontal="left" vertical="center"/>
      <protection locked="0"/>
    </xf>
    <xf numFmtId="14" fontId="0" fillId="2" borderId="2" xfId="0" applyNumberFormat="1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vertical="center"/>
      <protection locked="0"/>
    </xf>
    <xf numFmtId="0" fontId="0" fillId="2" borderId="2" xfId="0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1" fontId="0" fillId="0" borderId="4" xfId="0" applyNumberFormat="1" applyBorder="1" applyAlignment="1" applyProtection="1">
      <alignment horizontal="left" vertical="center"/>
      <protection locked="0"/>
    </xf>
    <xf numFmtId="14" fontId="0" fillId="0" borderId="4" xfId="0" applyNumberFormat="1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left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6" borderId="1" xfId="0" applyFill="1" applyBorder="1" applyAlignment="1">
      <alignment horizontal="left"/>
    </xf>
    <xf numFmtId="14" fontId="0" fillId="6" borderId="1" xfId="0" applyNumberFormat="1" applyFill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6" borderId="3" xfId="0" applyFill="1" applyBorder="1" applyAlignment="1">
      <alignment horizontal="left"/>
    </xf>
    <xf numFmtId="14" fontId="0" fillId="6" borderId="3" xfId="0" applyNumberFormat="1" applyFill="1" applyBorder="1" applyAlignment="1">
      <alignment horizontal="left"/>
    </xf>
    <xf numFmtId="1" fontId="0" fillId="0" borderId="2" xfId="0" applyNumberFormat="1" applyBorder="1" applyAlignment="1" applyProtection="1">
      <alignment horizontal="left" vertical="center"/>
      <protection locked="0"/>
    </xf>
    <xf numFmtId="14" fontId="0" fillId="0" borderId="2" xfId="0" applyNumberForma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1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0" fillId="7" borderId="1" xfId="0" applyFill="1" applyBorder="1" applyAlignment="1">
      <alignment horizontal="left"/>
    </xf>
    <xf numFmtId="14" fontId="0" fillId="7" borderId="1" xfId="0" applyNumberFormat="1" applyFill="1" applyBorder="1" applyAlignment="1">
      <alignment horizontal="left"/>
    </xf>
    <xf numFmtId="0" fontId="0" fillId="7" borderId="3" xfId="0" applyFill="1" applyBorder="1" applyAlignment="1">
      <alignment horizontal="left"/>
    </xf>
    <xf numFmtId="14" fontId="0" fillId="7" borderId="3" xfId="0" applyNumberFormat="1" applyFill="1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0" xfId="0" pivotButton="1"/>
    <xf numFmtId="1" fontId="0" fillId="0" borderId="1" xfId="0" applyNumberFormat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6" borderId="4" xfId="0" applyNumberFormat="1" applyFill="1" applyBorder="1" applyAlignment="1">
      <alignment horizontal="center"/>
    </xf>
    <xf numFmtId="1" fontId="0" fillId="7" borderId="4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0" fillId="8" borderId="3" xfId="0" applyFill="1" applyBorder="1" applyAlignment="1">
      <alignment horizontal="left"/>
    </xf>
    <xf numFmtId="14" fontId="0" fillId="8" borderId="3" xfId="0" applyNumberFormat="1" applyFill="1" applyBorder="1" applyAlignment="1">
      <alignment horizontal="left"/>
    </xf>
    <xf numFmtId="1" fontId="0" fillId="8" borderId="3" xfId="0" applyNumberForma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1" fontId="0" fillId="8" borderId="1" xfId="0" applyNumberFormat="1" applyFill="1" applyBorder="1" applyAlignment="1">
      <alignment horizontal="center"/>
    </xf>
    <xf numFmtId="0" fontId="0" fillId="7" borderId="6" xfId="0" applyFill="1" applyBorder="1" applyAlignment="1">
      <alignment horizontal="left"/>
    </xf>
    <xf numFmtId="14" fontId="0" fillId="7" borderId="6" xfId="0" applyNumberFormat="1" applyFill="1" applyBorder="1" applyAlignment="1">
      <alignment horizontal="left"/>
    </xf>
    <xf numFmtId="1" fontId="0" fillId="7" borderId="6" xfId="0" applyNumberFormat="1" applyFill="1" applyBorder="1" applyAlignment="1">
      <alignment horizontal="center"/>
    </xf>
    <xf numFmtId="0" fontId="6" fillId="8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0" xfId="0" applyFont="1"/>
    <xf numFmtId="0" fontId="7" fillId="8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6" xfId="0" applyNumberFormat="1" applyBorder="1" applyAlignment="1">
      <alignment horizontal="left"/>
    </xf>
    <xf numFmtId="1" fontId="0" fillId="0" borderId="7" xfId="0" applyNumberFormat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14" fontId="0" fillId="9" borderId="1" xfId="0" applyNumberFormat="1" applyFill="1" applyBorder="1" applyAlignment="1">
      <alignment horizontal="left"/>
    </xf>
    <xf numFmtId="1" fontId="0" fillId="9" borderId="1" xfId="0" applyNumberForma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0" fontId="0" fillId="9" borderId="3" xfId="0" applyFill="1" applyBorder="1" applyAlignment="1">
      <alignment horizontal="left"/>
    </xf>
    <xf numFmtId="14" fontId="0" fillId="9" borderId="3" xfId="0" applyNumberFormat="1" applyFill="1" applyBorder="1" applyAlignment="1">
      <alignment horizontal="left"/>
    </xf>
    <xf numFmtId="1" fontId="0" fillId="9" borderId="3" xfId="0" applyNumberFormat="1" applyFill="1" applyBorder="1" applyAlignment="1">
      <alignment horizontal="center"/>
    </xf>
    <xf numFmtId="0" fontId="7" fillId="9" borderId="3" xfId="0" applyFont="1" applyFill="1" applyBorder="1" applyAlignment="1">
      <alignment horizontal="left"/>
    </xf>
    <xf numFmtId="0" fontId="0" fillId="8" borderId="2" xfId="0" applyFill="1" applyBorder="1" applyAlignment="1">
      <alignment horizontal="left"/>
    </xf>
    <xf numFmtId="14" fontId="0" fillId="8" borderId="2" xfId="0" applyNumberFormat="1" applyFill="1" applyBorder="1" applyAlignment="1">
      <alignment horizontal="left"/>
    </xf>
    <xf numFmtId="1" fontId="0" fillId="8" borderId="2" xfId="0" applyNumberFormat="1" applyFill="1" applyBorder="1" applyAlignment="1">
      <alignment horizontal="center"/>
    </xf>
    <xf numFmtId="0" fontId="7" fillId="8" borderId="2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15" fontId="0" fillId="0" borderId="0" xfId="0" applyNumberFormat="1"/>
    <xf numFmtId="0" fontId="6" fillId="0" borderId="0" xfId="0" applyFont="1" applyAlignment="1">
      <alignment horizontal="left"/>
    </xf>
    <xf numFmtId="0" fontId="6" fillId="9" borderId="1" xfId="0" applyFont="1" applyFill="1" applyBorder="1" applyAlignment="1">
      <alignment horizontal="left"/>
    </xf>
    <xf numFmtId="0" fontId="0" fillId="9" borderId="2" xfId="0" applyFill="1" applyBorder="1" applyAlignment="1">
      <alignment horizontal="left"/>
    </xf>
    <xf numFmtId="14" fontId="0" fillId="9" borderId="2" xfId="0" applyNumberFormat="1" applyFill="1" applyBorder="1" applyAlignment="1">
      <alignment horizontal="left"/>
    </xf>
    <xf numFmtId="1" fontId="0" fillId="9" borderId="2" xfId="0" applyNumberFormat="1" applyFill="1" applyBorder="1" applyAlignment="1">
      <alignment horizontal="center"/>
    </xf>
    <xf numFmtId="0" fontId="0" fillId="10" borderId="0" xfId="0" applyFill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1" fillId="11" borderId="8" xfId="0" applyFont="1" applyFill="1" applyBorder="1"/>
    <xf numFmtId="0" fontId="11" fillId="11" borderId="9" xfId="0" applyFont="1" applyFill="1" applyBorder="1"/>
    <xf numFmtId="0" fontId="11" fillId="11" borderId="10" xfId="0" applyFont="1" applyFill="1" applyBorder="1"/>
    <xf numFmtId="49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9" fillId="0" borderId="5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0" fillId="12" borderId="3" xfId="0" applyFill="1" applyBorder="1" applyAlignment="1">
      <alignment horizontal="left"/>
    </xf>
    <xf numFmtId="14" fontId="0" fillId="12" borderId="3" xfId="0" applyNumberFormat="1" applyFill="1" applyBorder="1" applyAlignment="1">
      <alignment horizontal="left"/>
    </xf>
    <xf numFmtId="1" fontId="0" fillId="12" borderId="3" xfId="0" applyNumberFormat="1" applyFill="1" applyBorder="1" applyAlignment="1">
      <alignment horizontal="center"/>
    </xf>
    <xf numFmtId="0" fontId="0" fillId="12" borderId="3" xfId="0" applyFill="1" applyBorder="1" applyAlignment="1">
      <alignment horizontal="center" vertical="center"/>
    </xf>
    <xf numFmtId="0" fontId="7" fillId="12" borderId="3" xfId="0" applyFont="1" applyFill="1" applyBorder="1" applyAlignment="1">
      <alignment horizontal="left"/>
    </xf>
    <xf numFmtId="0" fontId="10" fillId="12" borderId="1" xfId="0" applyFont="1" applyFill="1" applyBorder="1"/>
    <xf numFmtId="0" fontId="6" fillId="12" borderId="3" xfId="0" applyFont="1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2" borderId="1" xfId="0" applyFill="1" applyBorder="1" applyAlignment="1">
      <alignment horizontal="center" vertical="center"/>
    </xf>
    <xf numFmtId="0" fontId="6" fillId="12" borderId="0" xfId="0" applyFont="1" applyFill="1" applyAlignment="1">
      <alignment horizontal="left"/>
    </xf>
    <xf numFmtId="0" fontId="0" fillId="12" borderId="1" xfId="0" applyFill="1" applyBorder="1" applyAlignment="1" applyProtection="1">
      <alignment horizontal="left" vertical="center"/>
      <protection locked="0"/>
    </xf>
    <xf numFmtId="14" fontId="0" fillId="12" borderId="1" xfId="0" applyNumberFormat="1" applyFill="1" applyBorder="1" applyAlignment="1">
      <alignment vertical="center"/>
    </xf>
    <xf numFmtId="1" fontId="0" fillId="12" borderId="1" xfId="0" applyNumberForma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2" borderId="0" xfId="0" applyFill="1" applyAlignment="1">
      <alignment horizontal="left" vertical="center"/>
    </xf>
    <xf numFmtId="49" fontId="0" fillId="12" borderId="1" xfId="0" applyNumberFormat="1" applyFill="1" applyBorder="1" applyAlignment="1">
      <alignment vertical="center"/>
    </xf>
    <xf numFmtId="0" fontId="0" fillId="12" borderId="1" xfId="0" applyFill="1" applyBorder="1" applyAlignment="1" applyProtection="1">
      <alignment horizontal="left"/>
      <protection locked="0"/>
    </xf>
    <xf numFmtId="1" fontId="0" fillId="12" borderId="1" xfId="0" applyNumberFormat="1" applyFill="1" applyBorder="1" applyAlignment="1">
      <alignment horizontal="center"/>
    </xf>
    <xf numFmtId="14" fontId="0" fillId="12" borderId="1" xfId="0" applyNumberFormat="1" applyFill="1" applyBorder="1" applyAlignment="1">
      <alignment horizontal="left"/>
    </xf>
    <xf numFmtId="0" fontId="0" fillId="12" borderId="5" xfId="0" applyFill="1" applyBorder="1" applyAlignment="1">
      <alignment horizontal="left"/>
    </xf>
    <xf numFmtId="14" fontId="0" fillId="12" borderId="5" xfId="0" applyNumberFormat="1" applyFill="1" applyBorder="1" applyAlignment="1">
      <alignment horizontal="left"/>
    </xf>
    <xf numFmtId="1" fontId="0" fillId="12" borderId="5" xfId="0" applyNumberFormat="1" applyFill="1" applyBorder="1" applyAlignment="1">
      <alignment horizontal="center"/>
    </xf>
    <xf numFmtId="0" fontId="0" fillId="12" borderId="5" xfId="0" applyFill="1" applyBorder="1" applyAlignment="1">
      <alignment vertical="center"/>
    </xf>
    <xf numFmtId="0" fontId="0" fillId="12" borderId="5" xfId="0" applyFill="1" applyBorder="1" applyAlignment="1">
      <alignment horizontal="center" vertical="center"/>
    </xf>
    <xf numFmtId="0" fontId="0" fillId="12" borderId="11" xfId="0" applyFill="1" applyBorder="1" applyAlignment="1">
      <alignment horizontal="left"/>
    </xf>
    <xf numFmtId="14" fontId="0" fillId="12" borderId="4" xfId="0" applyNumberFormat="1" applyFill="1" applyBorder="1" applyAlignment="1">
      <alignment horizontal="left"/>
    </xf>
    <xf numFmtId="1" fontId="0" fillId="12" borderId="4" xfId="0" applyNumberFormat="1" applyFill="1" applyBorder="1" applyAlignment="1">
      <alignment horizontal="center"/>
    </xf>
    <xf numFmtId="0" fontId="0" fillId="12" borderId="4" xfId="0" applyFill="1" applyBorder="1" applyAlignment="1">
      <alignment horizontal="left"/>
    </xf>
    <xf numFmtId="0" fontId="0" fillId="12" borderId="4" xfId="0" applyFill="1" applyBorder="1" applyAlignment="1">
      <alignment vertical="center"/>
    </xf>
    <xf numFmtId="0" fontId="0" fillId="12" borderId="12" xfId="0" applyFill="1" applyBorder="1" applyAlignment="1">
      <alignment horizontal="center" vertical="center"/>
    </xf>
    <xf numFmtId="0" fontId="0" fillId="12" borderId="13" xfId="0" applyFill="1" applyBorder="1" applyAlignment="1">
      <alignment horizontal="left"/>
    </xf>
    <xf numFmtId="0" fontId="0" fillId="12" borderId="14" xfId="0" applyFill="1" applyBorder="1" applyAlignment="1">
      <alignment horizontal="center" vertical="center"/>
    </xf>
    <xf numFmtId="0" fontId="0" fillId="12" borderId="16" xfId="0" applyFill="1" applyBorder="1" applyAlignment="1">
      <alignment horizontal="left"/>
    </xf>
    <xf numFmtId="14" fontId="0" fillId="12" borderId="6" xfId="0" applyNumberFormat="1" applyFill="1" applyBorder="1" applyAlignment="1">
      <alignment horizontal="left"/>
    </xf>
    <xf numFmtId="1" fontId="0" fillId="12" borderId="6" xfId="0" applyNumberFormat="1" applyFill="1" applyBorder="1" applyAlignment="1">
      <alignment horizontal="center"/>
    </xf>
    <xf numFmtId="0" fontId="0" fillId="12" borderId="6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2" borderId="2" xfId="0" applyFill="1" applyBorder="1" applyAlignment="1">
      <alignment vertical="center"/>
    </xf>
    <xf numFmtId="0" fontId="0" fillId="12" borderId="15" xfId="0" applyFill="1" applyBorder="1" applyAlignment="1">
      <alignment horizontal="center" vertical="center"/>
    </xf>
    <xf numFmtId="0" fontId="0" fillId="12" borderId="7" xfId="0" applyFill="1" applyBorder="1" applyAlignment="1">
      <alignment horizontal="left"/>
    </xf>
    <xf numFmtId="14" fontId="0" fillId="12" borderId="7" xfId="0" applyNumberFormat="1" applyFill="1" applyBorder="1" applyAlignment="1">
      <alignment horizontal="left"/>
    </xf>
    <xf numFmtId="1" fontId="0" fillId="12" borderId="7" xfId="0" applyNumberFormat="1" applyFill="1" applyBorder="1" applyAlignment="1">
      <alignment horizontal="center"/>
    </xf>
    <xf numFmtId="0" fontId="0" fillId="12" borderId="7" xfId="0" applyFill="1" applyBorder="1" applyAlignment="1">
      <alignment vertical="center"/>
    </xf>
    <xf numFmtId="0" fontId="0" fillId="12" borderId="7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5" borderId="5" xfId="0" applyFill="1" applyBorder="1" applyAlignment="1">
      <alignment horizontal="left"/>
    </xf>
    <xf numFmtId="14" fontId="0" fillId="5" borderId="5" xfId="0" applyNumberFormat="1" applyFill="1" applyBorder="1" applyAlignment="1">
      <alignment horizontal="left"/>
    </xf>
    <xf numFmtId="1" fontId="0" fillId="5" borderId="5" xfId="0" applyNumberFormat="1" applyFill="1" applyBorder="1" applyAlignment="1">
      <alignment horizontal="center"/>
    </xf>
    <xf numFmtId="0" fontId="7" fillId="5" borderId="5" xfId="0" applyFont="1" applyFill="1" applyBorder="1" applyAlignment="1">
      <alignment horizontal="left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 applyAlignment="1" applyProtection="1">
      <alignment horizontal="left"/>
      <protection locked="0"/>
    </xf>
    <xf numFmtId="0" fontId="12" fillId="0" borderId="0" xfId="0" applyFont="1" applyAlignment="1">
      <alignment horizontal="center" vertical="center"/>
    </xf>
    <xf numFmtId="0" fontId="10" fillId="0" borderId="0" xfId="0" applyFont="1"/>
    <xf numFmtId="1" fontId="1" fillId="0" borderId="1" xfId="0" applyNumberFormat="1" applyFont="1" applyBorder="1" applyAlignment="1">
      <alignment horizontal="left"/>
    </xf>
    <xf numFmtId="1" fontId="0" fillId="4" borderId="1" xfId="0" applyNumberFormat="1" applyFill="1" applyBorder="1" applyAlignment="1">
      <alignment horizontal="left"/>
    </xf>
    <xf numFmtId="1" fontId="0" fillId="5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4" borderId="2" xfId="0" applyNumberFormat="1" applyFill="1" applyBorder="1" applyAlignment="1">
      <alignment horizontal="left"/>
    </xf>
    <xf numFmtId="1" fontId="0" fillId="0" borderId="3" xfId="0" applyNumberFormat="1" applyBorder="1" applyAlignment="1">
      <alignment horizontal="left"/>
    </xf>
    <xf numFmtId="1" fontId="0" fillId="0" borderId="6" xfId="0" applyNumberFormat="1" applyBorder="1" applyAlignment="1">
      <alignment horizontal="left"/>
    </xf>
    <xf numFmtId="1" fontId="0" fillId="6" borderId="3" xfId="0" applyNumberFormat="1" applyFill="1" applyBorder="1" applyAlignment="1">
      <alignment horizontal="left"/>
    </xf>
    <xf numFmtId="1" fontId="0" fillId="6" borderId="1" xfId="0" applyNumberFormat="1" applyFill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7" borderId="3" xfId="0" applyNumberFormat="1" applyFill="1" applyBorder="1" applyAlignment="1">
      <alignment horizontal="left"/>
    </xf>
    <xf numFmtId="1" fontId="0" fillId="7" borderId="1" xfId="0" applyNumberFormat="1" applyFill="1" applyBorder="1" applyAlignment="1">
      <alignment horizontal="left"/>
    </xf>
    <xf numFmtId="1" fontId="0" fillId="7" borderId="6" xfId="0" applyNumberFormat="1" applyFill="1" applyBorder="1" applyAlignment="1">
      <alignment horizontal="left"/>
    </xf>
    <xf numFmtId="1" fontId="0" fillId="8" borderId="3" xfId="0" applyNumberFormat="1" applyFill="1" applyBorder="1" applyAlignment="1">
      <alignment horizontal="left"/>
    </xf>
    <xf numFmtId="1" fontId="0" fillId="8" borderId="1" xfId="0" applyNumberFormat="1" applyFill="1" applyBorder="1" applyAlignment="1">
      <alignment horizontal="left"/>
    </xf>
    <xf numFmtId="1" fontId="0" fillId="8" borderId="2" xfId="0" applyNumberFormat="1" applyFill="1" applyBorder="1" applyAlignment="1">
      <alignment horizontal="left"/>
    </xf>
    <xf numFmtId="1" fontId="0" fillId="9" borderId="3" xfId="0" applyNumberFormat="1" applyFill="1" applyBorder="1" applyAlignment="1">
      <alignment horizontal="left"/>
    </xf>
    <xf numFmtId="1" fontId="0" fillId="9" borderId="1" xfId="0" applyNumberFormat="1" applyFill="1" applyBorder="1" applyAlignment="1">
      <alignment horizontal="left"/>
    </xf>
    <xf numFmtId="1" fontId="0" fillId="9" borderId="2" xfId="0" applyNumberFormat="1" applyFill="1" applyBorder="1" applyAlignment="1">
      <alignment horizontal="left"/>
    </xf>
    <xf numFmtId="1" fontId="0" fillId="12" borderId="3" xfId="0" applyNumberFormat="1" applyFill="1" applyBorder="1" applyAlignment="1">
      <alignment horizontal="left"/>
    </xf>
    <xf numFmtId="1" fontId="0" fillId="12" borderId="1" xfId="0" applyNumberFormat="1" applyFill="1" applyBorder="1" applyAlignment="1">
      <alignment horizontal="left"/>
    </xf>
    <xf numFmtId="1" fontId="0" fillId="12" borderId="0" xfId="0" applyNumberFormat="1" applyFill="1" applyAlignment="1">
      <alignment horizontal="left"/>
    </xf>
    <xf numFmtId="1" fontId="0" fillId="12" borderId="5" xfId="0" applyNumberFormat="1" applyFill="1" applyBorder="1" applyAlignment="1">
      <alignment vertical="center"/>
    </xf>
    <xf numFmtId="1" fontId="0" fillId="12" borderId="4" xfId="0" applyNumberFormat="1" applyFill="1" applyBorder="1" applyAlignment="1">
      <alignment vertical="center"/>
    </xf>
    <xf numFmtId="1" fontId="0" fillId="12" borderId="2" xfId="0" applyNumberFormat="1" applyFill="1" applyBorder="1" applyAlignment="1">
      <alignment vertical="center"/>
    </xf>
    <xf numFmtId="1" fontId="0" fillId="12" borderId="7" xfId="0" applyNumberFormat="1" applyFill="1" applyBorder="1" applyAlignment="1">
      <alignment vertical="center"/>
    </xf>
    <xf numFmtId="1" fontId="0" fillId="13" borderId="5" xfId="0" applyNumberFormat="1" applyFill="1" applyBorder="1" applyAlignment="1">
      <alignment vertical="center"/>
    </xf>
    <xf numFmtId="1" fontId="0" fillId="0" borderId="5" xfId="0" applyNumberFormat="1" applyBorder="1" applyAlignment="1">
      <alignment vertical="center"/>
    </xf>
    <xf numFmtId="1" fontId="0" fillId="5" borderId="5" xfId="0" applyNumberFormat="1" applyFill="1" applyBorder="1" applyAlignment="1">
      <alignment vertical="center"/>
    </xf>
    <xf numFmtId="1" fontId="0" fillId="0" borderId="1" xfId="0" applyNumberFormat="1" applyBorder="1" applyAlignment="1">
      <alignment vertical="center"/>
    </xf>
    <xf numFmtId="1" fontId="0" fillId="0" borderId="0" xfId="0" applyNumberFormat="1" applyAlignment="1">
      <alignment horizontal="left"/>
    </xf>
    <xf numFmtId="1" fontId="11" fillId="11" borderId="9" xfId="0" applyNumberFormat="1" applyFont="1" applyFill="1" applyBorder="1"/>
    <xf numFmtId="1" fontId="0" fillId="0" borderId="0" xfId="0" applyNumberFormat="1" applyAlignment="1">
      <alignment vertical="center"/>
    </xf>
    <xf numFmtId="0" fontId="13" fillId="0" borderId="0" xfId="0" applyFont="1" applyAlignment="1">
      <alignment horizontal="center"/>
    </xf>
    <xf numFmtId="1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vertical="center"/>
    </xf>
    <xf numFmtId="1" fontId="0" fillId="0" borderId="3" xfId="0" applyNumberFormat="1" applyBorder="1" applyAlignment="1">
      <alignment vertic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vertical="center"/>
    </xf>
    <xf numFmtId="1" fontId="0" fillId="0" borderId="2" xfId="0" applyNumberFormat="1" applyBorder="1" applyAlignment="1">
      <alignment vertical="center"/>
    </xf>
    <xf numFmtId="0" fontId="7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1" fillId="0" borderId="0" xfId="0" applyFont="1"/>
    <xf numFmtId="0" fontId="9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1" fontId="0" fillId="5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0" fillId="5" borderId="1" xfId="0" applyFill="1" applyBorder="1" applyAlignment="1">
      <alignment vertical="center"/>
    </xf>
    <xf numFmtId="1" fontId="0" fillId="5" borderId="1" xfId="0" applyNumberFormat="1" applyFill="1" applyBorder="1" applyAlignment="1">
      <alignment vertical="center"/>
    </xf>
    <xf numFmtId="0" fontId="0" fillId="14" borderId="1" xfId="0" applyFill="1" applyBorder="1" applyAlignment="1">
      <alignment horizontal="left"/>
    </xf>
    <xf numFmtId="14" fontId="0" fillId="14" borderId="1" xfId="0" applyNumberFormat="1" applyFill="1" applyBorder="1" applyAlignment="1">
      <alignment horizontal="left"/>
    </xf>
    <xf numFmtId="1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vertical="center"/>
    </xf>
    <xf numFmtId="1" fontId="0" fillId="14" borderId="1" xfId="0" applyNumberFormat="1" applyFill="1" applyBorder="1" applyAlignment="1">
      <alignment vertical="center"/>
    </xf>
    <xf numFmtId="0" fontId="0" fillId="14" borderId="1" xfId="0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0" fillId="0" borderId="4" xfId="0" applyBorder="1" applyAlignment="1">
      <alignment vertical="center"/>
    </xf>
    <xf numFmtId="1" fontId="0" fillId="0" borderId="4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0" fillId="0" borderId="0" xfId="0" applyNumberFormat="1"/>
  </cellXfs>
  <cellStyles count="6">
    <cellStyle name="Comma 2" xfId="4" xr:uid="{00000000-0005-0000-0000-000000000000}"/>
    <cellStyle name="Hyperlink" xfId="1" builtinId="8" customBuiltin="1"/>
    <cellStyle name="Normal" xfId="0" builtinId="0"/>
    <cellStyle name="Normal 2" xfId="3" xr:uid="{00000000-0005-0000-0000-000003000000}"/>
    <cellStyle name="Normal 3" xfId="2" xr:uid="{00000000-0005-0000-0000-000004000000}"/>
    <cellStyle name="Percent 2" xfId="5" xr:uid="{00000000-0005-0000-0000-000005000000}"/>
  </cellStyles>
  <dxfs count="45">
    <dxf>
      <font>
        <strike val="0"/>
        <color theme="1"/>
      </font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ont>
        <strike val="0"/>
        <color theme="5" tint="-0.24994659260841701"/>
      </font>
    </dxf>
    <dxf>
      <font>
        <strike val="0"/>
        <color theme="4" tint="-0.24994659260841701"/>
      </font>
    </dxf>
    <dxf>
      <font>
        <strike val="0"/>
        <color theme="6" tint="-0.24994659260841701"/>
      </font>
    </dxf>
    <dxf>
      <font>
        <strike val="0"/>
        <color theme="5" tint="-0.24994659260841701"/>
      </font>
    </dxf>
    <dxf>
      <font>
        <strike val="0"/>
        <color theme="4" tint="-0.24994659260841701"/>
      </font>
    </dxf>
    <dxf>
      <font>
        <strike val="0"/>
        <color theme="6" tint="-0.24994659260841701"/>
      </font>
    </dxf>
    <dxf>
      <font>
        <strike val="0"/>
        <color theme="6" tint="-0.24994659260841701"/>
      </font>
    </dxf>
    <dxf>
      <font>
        <strike val="0"/>
        <color theme="5" tint="-0.24994659260841701"/>
      </font>
    </dxf>
    <dxf>
      <font>
        <strike val="0"/>
        <color theme="4" tint="-0.24994659260841701"/>
      </font>
    </dxf>
    <dxf>
      <font>
        <strike val="0"/>
        <color theme="1"/>
      </font>
      <fill>
        <patternFill>
          <bgColor theme="6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ont>
        <strike val="0"/>
        <color theme="0" tint="-0.34998626667073579"/>
      </font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ont>
        <strike val="0"/>
        <color theme="0" tint="-0.34998626667073579"/>
      </font>
    </dxf>
    <dxf>
      <fill>
        <patternFill>
          <bgColor theme="7" tint="0.59996337778862885"/>
        </patternFill>
      </fill>
    </dxf>
    <dxf>
      <fill>
        <patternFill>
          <bgColor rgb="FFFFFF99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99"/>
        </patternFill>
      </fill>
    </dxf>
    <dxf>
      <font>
        <strike val="0"/>
        <color theme="1"/>
      </font>
      <fill>
        <patternFill>
          <bgColor theme="6" tint="0.59996337778862885"/>
        </patternFill>
      </fill>
    </dxf>
    <dxf>
      <font>
        <strike val="0"/>
        <color theme="1"/>
      </font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9" defaultPivotStyle="PivotStyleLight16"/>
  <colors>
    <mruColors>
      <color rgb="FFCCECFF"/>
      <color rgb="FFCC0000"/>
      <color rgb="FFFF99FF"/>
      <color rgb="FFB16A2F"/>
      <color rgb="FFFF00FF"/>
      <color rgb="FFAABAD7"/>
      <color rgb="FFFFFFCC"/>
      <color rgb="FF99CCFF"/>
      <color rgb="FF6699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O1251"/>
  <sheetViews>
    <sheetView tabSelected="1" zoomScale="85" zoomScaleNormal="85" workbookViewId="0">
      <pane xSplit="10" ySplit="1" topLeftCell="K1022" activePane="bottomRight" state="frozen"/>
      <selection pane="topRight" activeCell="L1" sqref="L1"/>
      <selection pane="bottomLeft" activeCell="A2" sqref="A2"/>
      <selection pane="bottomRight" activeCell="A1065" sqref="A1065"/>
    </sheetView>
  </sheetViews>
  <sheetFormatPr defaultRowHeight="14.5" x14ac:dyDescent="0.35"/>
  <cols>
    <col min="1" max="1" width="10.54296875" style="1" customWidth="1"/>
    <col min="2" max="2" width="11.54296875" style="28" customWidth="1"/>
    <col min="3" max="3" width="5.54296875" style="57" customWidth="1"/>
    <col min="4" max="4" width="18.7265625" style="1" customWidth="1"/>
    <col min="5" max="5" width="15.54296875" style="1" customWidth="1"/>
    <col min="6" max="6" width="8.26953125" style="1" customWidth="1"/>
    <col min="7" max="7" width="9.453125" style="1" customWidth="1"/>
    <col min="8" max="8" width="6.81640625" style="253" customWidth="1"/>
    <col min="9" max="9" width="24.81640625" style="1" bestFit="1" customWidth="1"/>
    <col min="10" max="10" width="4.54296875" style="137" customWidth="1"/>
    <col min="11" max="11" width="16.453125" style="137" hidden="1" customWidth="1"/>
    <col min="12" max="12" width="13.1796875" customWidth="1"/>
    <col min="13" max="13" width="11.7265625" customWidth="1"/>
    <col min="14" max="14" width="12.26953125" customWidth="1"/>
    <col min="15" max="15" width="14" bestFit="1" customWidth="1"/>
    <col min="16" max="16" width="7.81640625" bestFit="1" customWidth="1"/>
    <col min="17" max="26" width="11.7265625" customWidth="1"/>
    <col min="27" max="27" width="18.81640625" bestFit="1" customWidth="1"/>
    <col min="28" max="28" width="16.54296875" bestFit="1" customWidth="1"/>
    <col min="29" max="29" width="3" customWidth="1"/>
    <col min="30" max="30" width="3.453125" bestFit="1" customWidth="1"/>
    <col min="31" max="31" width="4.7265625" customWidth="1"/>
    <col min="32" max="32" width="7.453125" bestFit="1" customWidth="1"/>
    <col min="33" max="33" width="11.54296875" bestFit="1" customWidth="1"/>
    <col min="34" max="65" width="10.7265625" bestFit="1" customWidth="1"/>
    <col min="66" max="66" width="7.26953125" customWidth="1"/>
    <col min="67" max="67" width="11.26953125" bestFit="1" customWidth="1"/>
  </cols>
  <sheetData>
    <row r="1" spans="1:21" s="2" customFormat="1" ht="18" customHeight="1" x14ac:dyDescent="0.35">
      <c r="A1" s="14" t="s">
        <v>0</v>
      </c>
      <c r="B1" s="19" t="s">
        <v>1</v>
      </c>
      <c r="C1" s="55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223" t="s">
        <v>7</v>
      </c>
      <c r="I1" s="15" t="s">
        <v>8</v>
      </c>
      <c r="J1" s="138" t="s">
        <v>1112</v>
      </c>
      <c r="K1" s="269" t="s">
        <v>1078</v>
      </c>
      <c r="L1" s="102" t="s">
        <v>9</v>
      </c>
    </row>
    <row r="2" spans="1:21" s="2" customFormat="1" x14ac:dyDescent="0.35">
      <c r="A2" s="17">
        <v>2010004</v>
      </c>
      <c r="B2" s="20">
        <v>40221</v>
      </c>
      <c r="C2" s="56">
        <f>YEAR(B2)</f>
        <v>2010</v>
      </c>
      <c r="D2" s="110" t="s">
        <v>10</v>
      </c>
      <c r="E2" s="17" t="s">
        <v>11</v>
      </c>
      <c r="F2" s="17" t="s">
        <v>12</v>
      </c>
      <c r="G2" s="17" t="s">
        <v>13</v>
      </c>
      <c r="H2" s="224">
        <v>300</v>
      </c>
      <c r="I2" s="17" t="s">
        <v>14</v>
      </c>
      <c r="J2" s="139" t="s">
        <v>15</v>
      </c>
      <c r="K2" s="137"/>
    </row>
    <row r="3" spans="1:21" s="2" customFormat="1" x14ac:dyDescent="0.35">
      <c r="A3" s="17">
        <v>2010005</v>
      </c>
      <c r="B3" s="20">
        <v>40221</v>
      </c>
      <c r="C3" s="56">
        <f t="shared" ref="C3:C67" si="0">YEAR(B3)</f>
        <v>2010</v>
      </c>
      <c r="D3" s="110" t="s">
        <v>16</v>
      </c>
      <c r="E3" s="17" t="s">
        <v>11</v>
      </c>
      <c r="F3" s="17" t="s">
        <v>17</v>
      </c>
      <c r="G3" s="17" t="s">
        <v>18</v>
      </c>
      <c r="H3" s="224">
        <v>300</v>
      </c>
      <c r="I3" s="17" t="s">
        <v>14</v>
      </c>
      <c r="J3" s="139" t="s">
        <v>15</v>
      </c>
      <c r="K3" s="137"/>
    </row>
    <row r="5" spans="1:21" s="2" customFormat="1" x14ac:dyDescent="0.35">
      <c r="A5" s="16">
        <v>2010050</v>
      </c>
      <c r="B5" s="22">
        <v>40307</v>
      </c>
      <c r="C5" s="79">
        <f t="shared" si="0"/>
        <v>2010</v>
      </c>
      <c r="D5" s="16" t="s">
        <v>25</v>
      </c>
      <c r="E5" s="16" t="s">
        <v>26</v>
      </c>
      <c r="F5" s="16" t="s">
        <v>27</v>
      </c>
      <c r="G5" s="16" t="s">
        <v>28</v>
      </c>
      <c r="H5" s="226">
        <v>850</v>
      </c>
      <c r="I5" s="16" t="s">
        <v>29</v>
      </c>
      <c r="J5" s="134" t="s">
        <v>24</v>
      </c>
      <c r="K5" s="137"/>
      <c r="U5"/>
    </row>
    <row r="587" spans="1:12" x14ac:dyDescent="0.35">
      <c r="A587" s="16">
        <v>2021021</v>
      </c>
      <c r="B587" s="22">
        <v>44290</v>
      </c>
      <c r="C587" s="79">
        <v>2021</v>
      </c>
      <c r="D587" s="16" t="s">
        <v>832</v>
      </c>
      <c r="E587" s="161" t="s">
        <v>45</v>
      </c>
      <c r="F587" s="161" t="s">
        <v>357</v>
      </c>
      <c r="G587" s="162" t="s">
        <v>833</v>
      </c>
      <c r="H587" s="249">
        <v>7800</v>
      </c>
      <c r="I587" s="162" t="s">
        <v>834</v>
      </c>
      <c r="J587" s="165" t="s">
        <v>15</v>
      </c>
      <c r="L587" s="2"/>
    </row>
    <row r="588" spans="1:12" x14ac:dyDescent="0.35">
      <c r="A588" s="161">
        <v>2021022</v>
      </c>
      <c r="B588" s="160">
        <v>44258</v>
      </c>
      <c r="C588" s="82">
        <v>2021</v>
      </c>
      <c r="D588" s="166" t="s">
        <v>235</v>
      </c>
      <c r="E588" s="161" t="s">
        <v>20</v>
      </c>
      <c r="F588" s="161" t="s">
        <v>73</v>
      </c>
      <c r="G588" s="162" t="s">
        <v>469</v>
      </c>
      <c r="H588" s="249">
        <v>1800</v>
      </c>
      <c r="I588" s="162" t="s">
        <v>835</v>
      </c>
      <c r="J588" s="165" t="s">
        <v>15</v>
      </c>
      <c r="L588" s="2"/>
    </row>
    <row r="918" spans="1:28" x14ac:dyDescent="0.35">
      <c r="A918" s="16">
        <v>2025022</v>
      </c>
      <c r="B918" s="22">
        <v>45719</v>
      </c>
      <c r="C918" s="79">
        <v>2025</v>
      </c>
      <c r="D918" s="16" t="s">
        <v>1012</v>
      </c>
      <c r="E918" s="104" t="s">
        <v>11</v>
      </c>
      <c r="F918" s="16" t="s">
        <v>1098</v>
      </c>
      <c r="G918" s="219" t="s">
        <v>673</v>
      </c>
      <c r="H918" s="252">
        <v>375</v>
      </c>
      <c r="I918" s="219" t="s">
        <v>810</v>
      </c>
      <c r="J918" s="134" t="s">
        <v>76</v>
      </c>
      <c r="K918" s="137" t="s">
        <v>11</v>
      </c>
      <c r="L918" s="256"/>
    </row>
    <row r="919" spans="1:28" x14ac:dyDescent="0.35">
      <c r="A919" s="16">
        <v>2025025</v>
      </c>
      <c r="B919" s="22">
        <v>45721</v>
      </c>
      <c r="C919" s="79">
        <v>2025</v>
      </c>
      <c r="D919" s="16" t="s">
        <v>621</v>
      </c>
      <c r="E919" s="104" t="s">
        <v>11</v>
      </c>
      <c r="F919" s="16" t="s">
        <v>1069</v>
      </c>
      <c r="G919" s="219" t="s">
        <v>195</v>
      </c>
      <c r="H919" s="252">
        <v>7200</v>
      </c>
      <c r="I919" s="219" t="s">
        <v>810</v>
      </c>
      <c r="J919" s="134" t="s">
        <v>34</v>
      </c>
      <c r="K919" s="137" t="s">
        <v>11</v>
      </c>
      <c r="L919" s="256"/>
    </row>
    <row r="920" spans="1:28" x14ac:dyDescent="0.35">
      <c r="A920" s="16">
        <v>2025027</v>
      </c>
      <c r="B920" s="22">
        <v>45726</v>
      </c>
      <c r="C920" s="79">
        <v>2025</v>
      </c>
      <c r="D920" s="16" t="s">
        <v>109</v>
      </c>
      <c r="E920" s="104" t="s">
        <v>11</v>
      </c>
      <c r="F920" s="16" t="s">
        <v>357</v>
      </c>
      <c r="G920" s="219" t="s">
        <v>171</v>
      </c>
      <c r="H920" s="252">
        <v>2000</v>
      </c>
      <c r="I920" s="219" t="s">
        <v>945</v>
      </c>
      <c r="J920" s="134" t="s">
        <v>76</v>
      </c>
      <c r="K920" s="137" t="s">
        <v>11</v>
      </c>
      <c r="L920" s="256"/>
    </row>
    <row r="921" spans="1:28" x14ac:dyDescent="0.35">
      <c r="A921" s="16">
        <v>2025028</v>
      </c>
      <c r="B921" s="22">
        <v>45728</v>
      </c>
      <c r="C921" s="79">
        <v>2025</v>
      </c>
      <c r="D921" s="16" t="s">
        <v>154</v>
      </c>
      <c r="E921" s="104" t="s">
        <v>20</v>
      </c>
      <c r="F921" s="16" t="s">
        <v>1136</v>
      </c>
      <c r="G921" s="219" t="s">
        <v>921</v>
      </c>
      <c r="H921" s="252">
        <v>900</v>
      </c>
      <c r="I921" s="219" t="s">
        <v>810</v>
      </c>
      <c r="J921" s="134" t="s">
        <v>15</v>
      </c>
      <c r="K921" s="137" t="s">
        <v>11</v>
      </c>
      <c r="L921" s="256"/>
    </row>
    <row r="1018" spans="1:12" x14ac:dyDescent="0.35">
      <c r="A1018" s="16">
        <v>2026108</v>
      </c>
      <c r="B1018" s="22">
        <v>46185</v>
      </c>
      <c r="C1018" s="79">
        <v>2026</v>
      </c>
      <c r="D1018" s="16" t="s">
        <v>569</v>
      </c>
      <c r="E1018" s="16" t="s">
        <v>11</v>
      </c>
      <c r="F1018" s="16" t="s">
        <v>46</v>
      </c>
      <c r="G1018" s="219" t="s">
        <v>523</v>
      </c>
      <c r="H1018" s="252">
        <v>6200</v>
      </c>
      <c r="I1018" s="219" t="s">
        <v>794</v>
      </c>
      <c r="J1018" s="134" t="s">
        <v>15</v>
      </c>
      <c r="K1018" s="290" t="s">
        <v>11</v>
      </c>
      <c r="L1018" s="256"/>
    </row>
  </sheetData>
  <autoFilter ref="A1:S1041" xr:uid="{B95C20F0-17FF-4FF2-A218-0F6D22BC8B0A}"/>
  <mergeCells count="1">
    <mergeCell ref="AG896:AK896"/>
  </mergeCells>
  <conditionalFormatting sqref="A552">
    <cfRule type="expression" dxfId="44" priority="704">
      <formula>#REF!="I"</formula>
    </cfRule>
    <cfRule type="expression" dxfId="43" priority="703">
      <formula>#REF!="P"</formula>
    </cfRule>
    <cfRule type="expression" dxfId="42" priority="702">
      <formula>#REF!="R"</formula>
    </cfRule>
    <cfRule type="expression" dxfId="41" priority="701">
      <formula>#REF!="O"</formula>
    </cfRule>
    <cfRule type="expression" dxfId="40" priority="700">
      <formula>#REF!="S"</formula>
    </cfRule>
  </conditionalFormatting>
  <conditionalFormatting sqref="A553:A560">
    <cfRule type="expression" dxfId="39" priority="31">
      <formula>$B553="S"</formula>
    </cfRule>
    <cfRule type="expression" dxfId="38" priority="32">
      <formula>$B553="O"</formula>
    </cfRule>
    <cfRule type="expression" dxfId="37" priority="33">
      <formula>$B553="R"</formula>
    </cfRule>
    <cfRule type="expression" dxfId="36" priority="34">
      <formula>$B553="P"</formula>
    </cfRule>
    <cfRule type="expression" dxfId="35" priority="35">
      <formula>$B553="I"</formula>
    </cfRule>
  </conditionalFormatting>
  <conditionalFormatting sqref="A561:A564 F562:F564">
    <cfRule type="expression" dxfId="34" priority="740">
      <formula>#REF!="I"</formula>
    </cfRule>
    <cfRule type="expression" dxfId="33" priority="739">
      <formula>#REF!="P"</formula>
    </cfRule>
    <cfRule type="expression" dxfId="32" priority="738">
      <formula>#REF!="R"</formula>
    </cfRule>
    <cfRule type="expression" dxfId="31" priority="737">
      <formula>#REF!="O"</formula>
    </cfRule>
    <cfRule type="expression" dxfId="30" priority="736">
      <formula>#REF!="S"</formula>
    </cfRule>
  </conditionalFormatting>
  <conditionalFormatting sqref="A13:B13 A15:B35 D13:K13 D15:K35">
    <cfRule type="expression" dxfId="29" priority="127">
      <formula>$D13="W"</formula>
    </cfRule>
  </conditionalFormatting>
  <conditionalFormatting sqref="A13:B13 A15:B36">
    <cfRule type="expression" dxfId="28" priority="124">
      <formula>$D13="R"</formula>
    </cfRule>
    <cfRule type="expression" dxfId="27" priority="125">
      <formula>$D13="P"</formula>
    </cfRule>
    <cfRule type="expression" dxfId="26" priority="126">
      <formula>$D13="K"</formula>
    </cfRule>
  </conditionalFormatting>
  <conditionalFormatting sqref="A13:B13">
    <cfRule type="expression" dxfId="25" priority="123">
      <formula>$D13="S"</formula>
    </cfRule>
  </conditionalFormatting>
  <conditionalFormatting sqref="A14:B14">
    <cfRule type="expression" dxfId="24" priority="136">
      <formula>$E14="R"</formula>
    </cfRule>
    <cfRule type="expression" dxfId="23" priority="138">
      <formula>$E14="K"</formula>
    </cfRule>
    <cfRule type="expression" dxfId="22" priority="137">
      <formula>$E14="P"</formula>
    </cfRule>
    <cfRule type="expression" dxfId="21" priority="135">
      <formula>$E14="S"</formula>
    </cfRule>
  </conditionalFormatting>
  <conditionalFormatting sqref="A15:B61">
    <cfRule type="expression" dxfId="20" priority="46">
      <formula>$D15="S"</formula>
    </cfRule>
  </conditionalFormatting>
  <conditionalFormatting sqref="A36:B61 D36:K61">
    <cfRule type="expression" dxfId="19" priority="50">
      <formula>$D36="W"</formula>
    </cfRule>
  </conditionalFormatting>
  <conditionalFormatting sqref="A37:B61">
    <cfRule type="expression" dxfId="18" priority="49">
      <formula>$D37="K"</formula>
    </cfRule>
    <cfRule type="expression" dxfId="17" priority="48">
      <formula>$D37="P"</formula>
    </cfRule>
    <cfRule type="expression" dxfId="16" priority="47">
      <formula>$D37="R"</formula>
    </cfRule>
  </conditionalFormatting>
  <conditionalFormatting sqref="D13:K13 E13:K19 D15:D19">
    <cfRule type="expression" dxfId="15" priority="121">
      <formula>$N12="M"</formula>
    </cfRule>
    <cfRule type="expression" dxfId="14" priority="122">
      <formula>$N12="C"</formula>
    </cfRule>
    <cfRule type="expression" dxfId="13" priority="120">
      <formula>$N12="J"</formula>
    </cfRule>
  </conditionalFormatting>
  <conditionalFormatting sqref="D20:K27">
    <cfRule type="expression" dxfId="12" priority="763">
      <formula>$U925="J"</formula>
    </cfRule>
    <cfRule type="expression" dxfId="11" priority="764">
      <formula>$U925="M"</formula>
    </cfRule>
    <cfRule type="expression" dxfId="10" priority="765">
      <formula>$U925="C"</formula>
    </cfRule>
  </conditionalFormatting>
  <conditionalFormatting sqref="D28:K61">
    <cfRule type="expression" dxfId="9" priority="142">
      <formula>#REF!="J"</formula>
    </cfRule>
    <cfRule type="expression" dxfId="8" priority="143">
      <formula>#REF!="M"</formula>
    </cfRule>
    <cfRule type="expression" dxfId="7" priority="144">
      <formula>#REF!="C"</formula>
    </cfRule>
  </conditionalFormatting>
  <conditionalFormatting sqref="E14:K14 A14:B14">
    <cfRule type="expression" dxfId="6" priority="129">
      <formula>$E14="W"</formula>
    </cfRule>
  </conditionalFormatting>
  <conditionalFormatting sqref="I55:I58">
    <cfRule type="expression" dxfId="5" priority="71">
      <formula>$D55="W"</formula>
    </cfRule>
  </conditionalFormatting>
  <conditionalFormatting sqref="AH542:AH544">
    <cfRule type="expression" dxfId="4" priority="2">
      <formula>#REF!="O"</formula>
    </cfRule>
    <cfRule type="expression" dxfId="3" priority="3">
      <formula>#REF!="R"</formula>
    </cfRule>
    <cfRule type="expression" dxfId="2" priority="1">
      <formula>#REF!="S"</formula>
    </cfRule>
    <cfRule type="expression" dxfId="1" priority="5">
      <formula>#REF!="I"</formula>
    </cfRule>
    <cfRule type="expression" dxfId="0" priority="4">
      <formula>#REF!="P"</formula>
    </cfRule>
  </conditionalFormatting>
  <hyperlinks>
    <hyperlink ref="A13" r:id="rId2" display="\\Ukabcaafs01\uxbjas.gl$\02 Airprox Casework\2014\2014009ss" xr:uid="{00000000-0004-0000-0000-000000000000}"/>
    <hyperlink ref="A14" r:id="rId3" display="\\Ukabcaafs01\uxbjas.gl$\02 Airprox Casework\2014\2014021rc" xr:uid="{00000000-0004-0000-0000-000001000000}"/>
    <hyperlink ref="A15" r:id="rId4" display="\\Ukabcaafs01\uxbjas.gl$\02 Airprox Casework\2014\2014073as" xr:uid="{00000000-0004-0000-0000-000002000000}"/>
    <hyperlink ref="A16" r:id="rId5" display="\\Ukabcaafs01\uxbjas.gl$\02 Airprox Casework\2014\2014117rc" xr:uid="{00000000-0004-0000-0000-000003000000}"/>
    <hyperlink ref="A17" r:id="rId6" display="\\Ukabcaafs01\uxbjas.gl$\02 Airprox Casework\2014\2014118as" xr:uid="{00000000-0004-0000-0000-000004000000}"/>
  </hyperlinks>
  <pageMargins left="0.70866141732283472" right="0.70866141732283472" top="0.74803149606299213" bottom="0.74803149606299213" header="0.31496062992125984" footer="0.31496062992125984"/>
  <pageSetup paperSize="9" orientation="landscape" r:id="rId7"/>
  <headerFooter>
    <oddHeader>&amp;C&amp;"Calibri"&amp;8&amp;K000000 OFFICIAL - Public. This information has been cleared for unrestricted distribution. &amp;1#_x000D_</oddHeader>
    <oddFooter>&amp;C_x000D_&amp;1#&amp;"Calibri"&amp;8&amp;K000000 OFFICIAL - Public</oddFooter>
  </headerFooter>
  <drawing r:id="rId8"/>
</worksheet>
</file>